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84BF51F1-0461-47BD-BAD8-3660D2636FA1}" xr6:coauthVersionLast="47" xr6:coauthVersionMax="47" xr10:uidLastSave="{00000000-0000-0000-0000-000000000000}"/>
  <bookViews>
    <workbookView xWindow="-110" yWindow="-110" windowWidth="19420" windowHeight="10300" activeTab="3" xr2:uid="{00000000-000D-0000-FFFF-FFFF00000000}"/>
  </bookViews>
  <sheets>
    <sheet name="Aturan Catatan" sheetId="8" r:id="rId1"/>
    <sheet name="Aturan Predikat" sheetId="24" r:id="rId2"/>
    <sheet name="Input Data" sheetId="16" r:id="rId3"/>
    <sheet name="Cetak" sheetId="3" r:id="rId4"/>
    <sheet name="About" sheetId="25" r:id="rId5"/>
  </sheets>
  <definedNames>
    <definedName name="_xlnm.Print_Area" localSheetId="3">Cetak!$A$2:$H$52</definedName>
    <definedName name="_xlnm.Print_Area" localSheetId="2">'Input Data'!$A$1:$AD$23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3" l="1"/>
  <c r="E10" i="3"/>
  <c r="F10" i="3" s="1"/>
  <c r="L2" i="3"/>
  <c r="D5" i="3"/>
  <c r="G52" i="3"/>
  <c r="E52" i="3"/>
  <c r="E39" i="3"/>
  <c r="E38" i="3"/>
  <c r="E37" i="3"/>
  <c r="E36" i="3"/>
  <c r="F32" i="3"/>
  <c r="A42" i="3"/>
  <c r="A39" i="3"/>
  <c r="A38" i="3"/>
  <c r="A37" i="3"/>
  <c r="A36" i="3"/>
  <c r="E19" i="3"/>
  <c r="F19" i="3" s="1"/>
  <c r="E18" i="3"/>
  <c r="F18" i="3" s="1"/>
  <c r="B18" i="3"/>
  <c r="B19" i="3"/>
  <c r="A32" i="3"/>
  <c r="E32" i="3"/>
  <c r="E28" i="3"/>
  <c r="F28" i="3" s="1"/>
  <c r="E27" i="3"/>
  <c r="F27" i="3" s="1"/>
  <c r="E26" i="3"/>
  <c r="F26" i="3" s="1"/>
  <c r="E25" i="3"/>
  <c r="F25" i="3" s="1"/>
  <c r="E24" i="3"/>
  <c r="F24" i="3" s="1"/>
  <c r="E23" i="3"/>
  <c r="F23" i="3" s="1"/>
  <c r="B28" i="3"/>
  <c r="B27" i="3"/>
  <c r="B26" i="3"/>
  <c r="B25" i="3"/>
  <c r="B24" i="3"/>
  <c r="B23" i="3"/>
  <c r="F14" i="3"/>
  <c r="E14" i="3"/>
  <c r="B14" i="3"/>
  <c r="H6" i="3"/>
  <c r="H5" i="3"/>
  <c r="D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O2" authorId="0" shapeId="0" xr:uid="{B417ADB4-6416-4975-8318-18F11C60E6C7}">
      <text>
        <r>
          <rPr>
            <b/>
            <sz val="9"/>
            <color indexed="81"/>
            <rFont val="Tahoma"/>
            <family val="2"/>
          </rPr>
          <t>Jika nama materi berubah, ganti langsung di nama tersebut.</t>
        </r>
      </text>
    </comment>
    <comment ref="G3" authorId="0" shapeId="0" xr:uid="{69C280D1-7FF4-4EF5-AA47-27279758653F}">
      <text>
        <r>
          <rPr>
            <b/>
            <sz val="9"/>
            <color indexed="81"/>
            <rFont val="Tahoma"/>
            <family val="2"/>
          </rPr>
          <t>NILAI:
Isi nilai dari 1 - 100</t>
        </r>
      </text>
    </comment>
    <comment ref="H3" authorId="0" shapeId="0" xr:uid="{16C7B6C4-4F10-4B35-9FDF-4922D2B7009E}">
      <text>
        <r>
          <rPr>
            <b/>
            <sz val="9"/>
            <color indexed="81"/>
            <rFont val="Tahoma"/>
            <family val="2"/>
          </rPr>
          <t>TULIS:
Juz saja, Contoh: 27</t>
        </r>
      </text>
    </comment>
    <comment ref="I3" authorId="0" shapeId="0" xr:uid="{FDDDF618-30D8-4DD0-B4FB-BF21A32BB7B9}">
      <text>
        <r>
          <rPr>
            <b/>
            <sz val="9"/>
            <color indexed="81"/>
            <rFont val="Tahoma"/>
            <family val="2"/>
          </rPr>
          <t>TULIS:
Contoh:
AN-NAS s/d AL-BAYYINAH</t>
        </r>
      </text>
    </comment>
  </commentList>
</comments>
</file>

<file path=xl/sharedStrings.xml><?xml version="1.0" encoding="utf-8"?>
<sst xmlns="http://schemas.openxmlformats.org/spreadsheetml/2006/main" count="668" uniqueCount="118">
  <si>
    <t>LAPORAN HASIL BELAJAR SANTRI</t>
  </si>
  <si>
    <t>GRIYA QUR'AN PENYEJUK HATI PURBALINGGA</t>
  </si>
  <si>
    <t>TAHUN AJARAN 2025/2026</t>
  </si>
  <si>
    <t xml:space="preserve">Nama Santri       </t>
  </si>
  <si>
    <t xml:space="preserve">Jilid </t>
  </si>
  <si>
    <t>:</t>
  </si>
  <si>
    <t xml:space="preserve">Kelas                     </t>
  </si>
  <si>
    <t xml:space="preserve">Semester    </t>
  </si>
  <si>
    <t>I (Gasal)</t>
  </si>
  <si>
    <t>A. Bacaan</t>
  </si>
  <si>
    <t>NO</t>
  </si>
  <si>
    <t>Materi</t>
  </si>
  <si>
    <t>Nilai</t>
  </si>
  <si>
    <t>Predikat</t>
  </si>
  <si>
    <t>Baca Tartili</t>
  </si>
  <si>
    <t>B. Hafalan</t>
  </si>
  <si>
    <t>Target Hafalan</t>
  </si>
  <si>
    <t>Juz</t>
  </si>
  <si>
    <t>Surat</t>
  </si>
  <si>
    <t>Keterangan</t>
  </si>
  <si>
    <t>Hafalan Yang Sudah Diujikan</t>
  </si>
  <si>
    <t>Nama Surat</t>
  </si>
  <si>
    <t>C. Materi Tambahan</t>
  </si>
  <si>
    <t>Praktek Sholat</t>
  </si>
  <si>
    <t>Tayamum</t>
  </si>
  <si>
    <t>Shalat Jenazah</t>
  </si>
  <si>
    <t>Do'a Harian</t>
  </si>
  <si>
    <t>Hafalan Hadits</t>
  </si>
  <si>
    <t>D. Presensi</t>
  </si>
  <si>
    <t>Sakit</t>
  </si>
  <si>
    <t>Izin</t>
  </si>
  <si>
    <t>E. Kepribadian</t>
  </si>
  <si>
    <t>Akhlak Kepada Guru</t>
  </si>
  <si>
    <t>Akhlak Kepada Teman</t>
  </si>
  <si>
    <t>Kerapian</t>
  </si>
  <si>
    <t>Kedisiplinan</t>
  </si>
  <si>
    <t>F. Catatan</t>
  </si>
  <si>
    <t xml:space="preserve">            Purbalingga, 21 Desember 2025</t>
  </si>
  <si>
    <t xml:space="preserve">                        Tanpa Keterangan</t>
  </si>
  <si>
    <t>Tidak Tercapai</t>
  </si>
  <si>
    <t>Tercapai</t>
  </si>
  <si>
    <r>
      <t>Alhamdulillah, ananda telah mengikuti pembelajaran dengan baik di semester ini. Semoga istiqamah dalam mengaji, mengulang bacaan dan hafalan, serta semangat dalam mengamalkan ilmu yang telah dipelajari. Sukses selalu untuk ananda. Baarakallahu fiikum.</t>
    </r>
    <r>
      <rPr>
        <sz val="12"/>
        <color indexed="8"/>
        <rFont val="Calibri"/>
        <family val="2"/>
      </rPr>
      <t xml:space="preserve">
</t>
    </r>
  </si>
  <si>
    <t>Melampaui</t>
  </si>
  <si>
    <r>
      <t>Alhamdulillah, ananda telah menunjukkan semangat yang sangat baik dalam mengikuti pembelajaran semester ini. Semoga terus meningkat dalam membaca, menghafal, dan mengamalkan ilmu yang telah dipelajari. Sukses selalu untuk ananda. Baarakallahu fiikum.</t>
    </r>
    <r>
      <rPr>
        <sz val="12"/>
        <color indexed="8"/>
        <rFont val="Calibri"/>
        <family val="2"/>
      </rPr>
      <t xml:space="preserve">
</t>
    </r>
  </si>
  <si>
    <t>No</t>
  </si>
  <si>
    <t>NAMA</t>
  </si>
  <si>
    <t>KELAS</t>
  </si>
  <si>
    <t>JILID</t>
  </si>
  <si>
    <t>SEMESTER</t>
  </si>
  <si>
    <t>Jenis Bacaan</t>
  </si>
  <si>
    <t>BACAAN</t>
  </si>
  <si>
    <t>HAFALAN YANG SUDAH DIUJIKAN</t>
  </si>
  <si>
    <t>TARGET HAFALAN</t>
  </si>
  <si>
    <t>Praktek Wudhu</t>
  </si>
  <si>
    <t>NILAI MATERI TAMBAHAN</t>
  </si>
  <si>
    <t>PRESENSI</t>
  </si>
  <si>
    <t>Tanpa Keterangan</t>
  </si>
  <si>
    <t>Indikator</t>
  </si>
  <si>
    <t>Deksripsi</t>
  </si>
  <si>
    <t>Deskripsi</t>
  </si>
  <si>
    <t>DESKRIPSI</t>
  </si>
  <si>
    <r>
      <rPr>
        <i/>
        <sz val="12"/>
        <color rgb="FF000000"/>
        <rFont val="Calibri"/>
        <charset val="134"/>
      </rPr>
      <t>Alhamdulillah, ananda telah mengikuti pembelajaran di semester ini. Ustadz berharap ananda bisa lebih semangat lagi dalam mengaji, memperbanyak latihan membaca dan menghafal, serta mulai mempraktikkan ilmu yang telah didapat. Sukses selalu untuk ananda. Barakallahufiikum.</t>
    </r>
    <r>
      <rPr>
        <sz val="11"/>
        <color rgb="FF000000"/>
        <rFont val="Calibri"/>
        <charset val="134"/>
      </rPr>
      <t xml:space="preserve">
</t>
    </r>
  </si>
  <si>
    <t>VII</t>
  </si>
  <si>
    <t>Hasil</t>
  </si>
  <si>
    <t>Mumtaz</t>
  </si>
  <si>
    <t>Jayyid Jiddan</t>
  </si>
  <si>
    <t>Jayyid</t>
  </si>
  <si>
    <t>Maqbul</t>
  </si>
  <si>
    <t>TARTILI</t>
  </si>
  <si>
    <t>TAHFIDZ</t>
  </si>
  <si>
    <t>MATERI TAMBAHAN</t>
  </si>
  <si>
    <t>Nama Surat 1</t>
  </si>
  <si>
    <t>Nilai 1</t>
  </si>
  <si>
    <t>Nama Surat 2</t>
  </si>
  <si>
    <t>Nilai 2</t>
  </si>
  <si>
    <t>-</t>
  </si>
  <si>
    <t>Wali Santri</t>
  </si>
  <si>
    <t>Wali Kelas</t>
  </si>
  <si>
    <t xml:space="preserve">                                                                    </t>
  </si>
  <si>
    <t>Koordinator Griya Qur'an</t>
  </si>
  <si>
    <t>KEPRIBADIAN</t>
  </si>
  <si>
    <t>Koordinator</t>
  </si>
  <si>
    <t>Maulidin Nafsir</t>
  </si>
  <si>
    <t>_______________________</t>
  </si>
  <si>
    <t>SistemFlow.com</t>
  </si>
  <si>
    <t>Muhammad Iqbal Putra</t>
  </si>
  <si>
    <t>DEVELOPED BY</t>
  </si>
  <si>
    <t>VERSION</t>
  </si>
  <si>
    <t>CONTACT &amp; SUPPORT</t>
  </si>
  <si>
    <t>© 2025 Muhammad Iqbal Putra (SistemFlow.com). All Right Reserved</t>
  </si>
  <si>
    <t>Dilarang menyebarkan atau memperjualbelikan ulang file ini tanpa izin</t>
  </si>
  <si>
    <t>Baarakallahu fiikum</t>
  </si>
  <si>
    <t>FOUNDER</t>
  </si>
  <si>
    <t>v1.0 (18 Desember 2025)</t>
  </si>
  <si>
    <t>081390292177 (iqbalmarketist@gmail.com)</t>
  </si>
  <si>
    <t>ABOUT APLICATION</t>
  </si>
  <si>
    <t>LAPORAN HASIL BELAJAR SANTRIGRIYA</t>
  </si>
  <si>
    <t>GRIYA QUR'AN PENYEJUK HATI</t>
  </si>
  <si>
    <t>FULAN 1</t>
  </si>
  <si>
    <t>FULAN 2</t>
  </si>
  <si>
    <t>FULAN 3</t>
  </si>
  <si>
    <t>FULAN 4</t>
  </si>
  <si>
    <t>FULAN 5</t>
  </si>
  <si>
    <t>FULAN 6</t>
  </si>
  <si>
    <t>FULAN 7</t>
  </si>
  <si>
    <t>FULAN 8</t>
  </si>
  <si>
    <t>FULAN 9</t>
  </si>
  <si>
    <t>FULAN 10</t>
  </si>
  <si>
    <t>FULAN 11</t>
  </si>
  <si>
    <t>FULAN 12</t>
  </si>
  <si>
    <t>FULAN 13</t>
  </si>
  <si>
    <t>FULAN 14</t>
  </si>
  <si>
    <t>FULAN 15</t>
  </si>
  <si>
    <t>FULAN 16</t>
  </si>
  <si>
    <t>FULAN 17</t>
  </si>
  <si>
    <t>FULAN 18</t>
  </si>
  <si>
    <t>FULAN 19</t>
  </si>
  <si>
    <t>FULAN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</si>
</sst>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b/>
      <sz val="14"/>
      <color rgb="FF000000"/>
      <name val="Calibri"/>
      <charset val="134"/>
    </font>
    <font>
      <sz val="11"/>
      <color rgb="FF000000"/>
      <name val="Calibri"/>
      <family val="2"/>
    </font>
    <font>
      <sz val="11"/>
      <name val="Calibri"/>
      <charset val="134"/>
    </font>
    <font>
      <b/>
      <sz val="11"/>
      <color rgb="FF000000"/>
      <name val="Calibri"/>
      <family val="2"/>
    </font>
    <font>
      <sz val="11"/>
      <color rgb="FF000000"/>
      <name val="Calibri"/>
      <charset val="134"/>
    </font>
    <font>
      <b/>
      <sz val="11"/>
      <color rgb="FF000000"/>
      <name val="Calibri"/>
      <charset val="134"/>
    </font>
    <font>
      <b/>
      <sz val="11"/>
      <name val="Calibri"/>
      <charset val="134"/>
    </font>
    <font>
      <sz val="10"/>
      <color rgb="FF000000"/>
      <name val="Calibri"/>
      <family val="2"/>
    </font>
    <font>
      <b/>
      <sz val="11"/>
      <color theme="1"/>
      <name val="Calibri"/>
      <charset val="134"/>
      <scheme val="minor"/>
    </font>
    <font>
      <i/>
      <sz val="12"/>
      <color rgb="FF000000"/>
      <name val="Calibri"/>
      <charset val="134"/>
    </font>
    <font>
      <b/>
      <sz val="11"/>
      <color theme="1"/>
      <name val="Calibri"/>
      <family val="2"/>
      <scheme val="minor"/>
    </font>
    <font>
      <sz val="11"/>
      <color indexed="8"/>
      <name val="Calibri"/>
      <charset val="134"/>
    </font>
    <font>
      <i/>
      <sz val="12"/>
      <color indexed="8"/>
      <name val="Calibri"/>
      <family val="2"/>
    </font>
    <font>
      <sz val="12"/>
      <color indexed="8"/>
      <name val="Calibri"/>
      <family val="2"/>
    </font>
    <font>
      <b/>
      <sz val="9"/>
      <color indexed="81"/>
      <name val="Tahoma"/>
      <family val="2"/>
    </font>
    <font>
      <b/>
      <sz val="10"/>
      <color theme="1"/>
      <name val="Calibri"/>
      <family val="2"/>
      <scheme val="minor"/>
    </font>
    <font>
      <sz val="12"/>
      <color theme="1"/>
      <name val="Calibri"/>
      <family val="2"/>
      <scheme val="minor"/>
    </font>
    <font>
      <sz val="18"/>
      <color theme="1"/>
      <name val="Calibri"/>
      <family val="2"/>
      <scheme val="minor"/>
    </font>
    <font>
      <sz val="36"/>
      <color theme="1"/>
      <name val="Calibri"/>
      <family val="2"/>
      <scheme val="minor"/>
    </font>
    <font>
      <i/>
      <sz val="11"/>
      <color rgb="FF000000"/>
      <name val="Calibri"/>
      <family val="2"/>
    </font>
    <font>
      <b/>
      <sz val="14"/>
      <color theme="1"/>
      <name val="Calibri"/>
      <family val="2"/>
      <scheme val="minor"/>
    </font>
    <font>
      <b/>
      <sz val="22"/>
      <color theme="1"/>
      <name val="Calibri"/>
      <family val="2"/>
      <scheme val="minor"/>
    </font>
    <font>
      <i/>
      <sz val="9"/>
      <color theme="7" tint="-0.499984740745262"/>
      <name val="Calibri"/>
      <family val="2"/>
      <scheme val="minor"/>
    </font>
    <font>
      <sz val="11"/>
      <color theme="7" tint="-0.499984740745262"/>
      <name val="Calibri"/>
      <family val="2"/>
      <scheme val="minor"/>
    </font>
    <font>
      <sz val="8"/>
      <name val="Calibri"/>
      <family val="2"/>
      <scheme val="minor"/>
    </font>
    <font>
      <b/>
      <sz val="11"/>
      <name val="Calibri"/>
      <family val="2"/>
    </font>
    <font>
      <sz val="11"/>
      <name val="Calibri"/>
      <family val="2"/>
    </font>
    <font>
      <sz val="11"/>
      <color indexed="8"/>
      <name val="Calibri"/>
      <family val="2"/>
    </font>
    <font>
      <b/>
      <u/>
      <sz val="11"/>
      <color indexed="8"/>
      <name val="Calibri"/>
      <family val="2"/>
    </font>
    <font>
      <b/>
      <i/>
      <sz val="18"/>
      <color theme="1"/>
      <name val="Arial"/>
      <family val="2"/>
    </font>
    <font>
      <b/>
      <sz val="18"/>
      <color theme="9" tint="-0.499984740745262"/>
      <name val="Arial Black"/>
      <family val="2"/>
    </font>
    <font>
      <b/>
      <sz val="12"/>
      <color theme="9" tint="-0.499984740745262"/>
      <name val="Calibri"/>
      <family val="2"/>
      <scheme val="minor"/>
    </font>
    <font>
      <sz val="12"/>
      <color theme="9" tint="-0.499984740745262"/>
      <name val="Calibri"/>
      <family val="2"/>
      <scheme val="minor"/>
    </font>
    <font>
      <i/>
      <sz val="12"/>
      <color theme="9" tint="-0.499984740745262"/>
      <name val="Calibri"/>
      <family val="2"/>
      <scheme val="minor"/>
    </font>
    <font>
      <sz val="18"/>
      <color theme="9" tint="-0.499984740745262"/>
      <name val="Calibri"/>
      <family val="2"/>
      <scheme val="minor"/>
    </font>
    <font>
      <b/>
      <sz val="24"/>
      <color theme="7" tint="-0.499984740745262"/>
      <name val="Arial Black"/>
      <family val="2"/>
    </font>
    <font>
      <b/>
      <sz val="11"/>
      <color theme="9" tint="-0.499984740745262"/>
      <name val="Arial Rounded MT Bold"/>
      <family val="2"/>
    </font>
    <font>
      <sz val="11"/>
      <color theme="9" tint="-0.499984740745262"/>
      <name val="Arial Rounded MT Bold"/>
      <family val="2"/>
    </font>
    <font>
      <i/>
      <sz val="14"/>
      <color theme="9" tint="-0.499984740745262"/>
      <name val="Arial Rounded MT Bold"/>
      <family val="2"/>
    </font>
  </fonts>
  <fills count="11">
    <fill>
      <patternFill patternType="none"/>
    </fill>
    <fill>
      <patternFill patternType="gray125"/>
    </fill>
    <fill>
      <patternFill patternType="solid">
        <fgColor theme="9" tint="0.79998168889431442"/>
        <bgColor indexed="64"/>
      </patternFill>
    </fill>
    <fill>
      <patternFill patternType="solid">
        <fgColor theme="4" tint="0.59999389629810485"/>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39997558519241921"/>
        <bgColor indexed="64"/>
      </patternFill>
    </fill>
  </fills>
  <borders count="70">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rgb="FF000000"/>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right style="double">
        <color rgb="FF000000"/>
      </right>
      <top style="thin">
        <color rgb="FF000000"/>
      </top>
      <bottom style="double">
        <color rgb="FF000000"/>
      </bottom>
      <diagonal/>
    </border>
    <border>
      <left style="thin">
        <color rgb="FF000000"/>
      </left>
      <right/>
      <top style="double">
        <color rgb="FF000000"/>
      </top>
      <bottom/>
      <diagonal/>
    </border>
    <border>
      <left/>
      <right/>
      <top style="double">
        <color rgb="FF000000"/>
      </top>
      <bottom/>
      <diagonal/>
    </border>
    <border>
      <left/>
      <right style="thin">
        <color rgb="FF000000"/>
      </right>
      <top style="double">
        <color rgb="FF000000"/>
      </top>
      <bottom/>
      <diagonal/>
    </border>
    <border>
      <left style="thin">
        <color rgb="FF000000"/>
      </left>
      <right style="thin">
        <color rgb="FF000000"/>
      </right>
      <top style="double">
        <color rgb="FF000000"/>
      </top>
      <bottom/>
      <diagonal/>
    </border>
    <border>
      <left/>
      <right style="double">
        <color rgb="FF000000"/>
      </right>
      <top style="double">
        <color rgb="FF000000"/>
      </top>
      <bottom/>
      <diagonal/>
    </border>
    <border>
      <left style="double">
        <color rgb="FF000000"/>
      </left>
      <right style="thin">
        <color rgb="FF000000"/>
      </right>
      <top style="thin">
        <color rgb="FF000000"/>
      </top>
      <bottom/>
      <diagonal/>
    </border>
    <border>
      <left style="thin">
        <color rgb="FF000000"/>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rgb="FF000000"/>
      </right>
      <top style="thin">
        <color indexed="64"/>
      </top>
      <bottom style="double">
        <color indexed="64"/>
      </bottom>
      <diagonal/>
    </border>
    <border>
      <left style="thin">
        <color rgb="FF000000"/>
      </left>
      <right style="thin">
        <color rgb="FF000000"/>
      </right>
      <top style="thin">
        <color auto="1"/>
      </top>
      <bottom style="double">
        <color auto="1"/>
      </bottom>
      <diagonal/>
    </border>
    <border>
      <left style="thin">
        <color rgb="FF000000"/>
      </left>
      <right style="thin">
        <color auto="1"/>
      </right>
      <top style="thin">
        <color indexed="64"/>
      </top>
      <bottom style="double">
        <color indexed="64"/>
      </bottom>
      <diagonal/>
    </border>
    <border>
      <left style="thin">
        <color auto="1"/>
      </left>
      <right style="thin">
        <color auto="1"/>
      </right>
      <top style="thin">
        <color auto="1"/>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double">
        <color auto="1"/>
      </right>
      <top style="thin">
        <color auto="1"/>
      </top>
      <bottom style="double">
        <color auto="1"/>
      </bottom>
      <diagonal/>
    </border>
    <border>
      <left style="double">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double">
        <color rgb="FF000000"/>
      </right>
      <top style="thin">
        <color rgb="FF000000"/>
      </top>
      <bottom style="thin">
        <color auto="1"/>
      </bottom>
      <diagonal/>
    </border>
    <border>
      <left style="thin">
        <color rgb="FF000000"/>
      </left>
      <right style="thin">
        <color rgb="FF000000"/>
      </right>
      <top style="thin">
        <color rgb="FF000000"/>
      </top>
      <bottom/>
      <diagonal/>
    </border>
    <border>
      <left style="double">
        <color auto="1"/>
      </left>
      <right style="thin">
        <color auto="1"/>
      </right>
      <top style="thin">
        <color auto="1"/>
      </top>
      <bottom style="thin">
        <color auto="1"/>
      </bottom>
      <diagonal/>
    </border>
    <border>
      <left style="double">
        <color rgb="FF000000"/>
      </left>
      <right style="thin">
        <color rgb="FF000000"/>
      </right>
      <top style="thin">
        <color auto="1"/>
      </top>
      <bottom style="double">
        <color auto="1"/>
      </bottom>
      <diagonal/>
    </border>
    <border>
      <left style="double">
        <color rgb="FF000000"/>
      </left>
      <right/>
      <top style="double">
        <color rgb="FF000000"/>
      </top>
      <bottom style="thin">
        <color rgb="FF000000"/>
      </bottom>
      <diagonal/>
    </border>
    <border>
      <left style="double">
        <color rgb="FF000000"/>
      </left>
      <right/>
      <top style="thin">
        <color rgb="FF000000"/>
      </top>
      <bottom style="double">
        <color rgb="FF000000"/>
      </bottom>
      <diagonal/>
    </border>
    <border>
      <left style="thin">
        <color rgb="FF000000"/>
      </left>
      <right style="double">
        <color rgb="FF000000"/>
      </right>
      <top style="double">
        <color rgb="FF000000"/>
      </top>
      <bottom style="thin">
        <color rgb="FF000000"/>
      </bottom>
      <diagonal/>
    </border>
    <border>
      <left style="double">
        <color rgb="FF000000"/>
      </left>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style="double">
        <color rgb="FF000000"/>
      </right>
      <top style="thin">
        <color rgb="FF000000"/>
      </top>
      <bottom style="double">
        <color indexed="64"/>
      </bottom>
      <diagonal/>
    </border>
    <border>
      <left style="double">
        <color indexed="64"/>
      </left>
      <right style="double">
        <color indexed="64"/>
      </right>
      <top style="double">
        <color auto="1"/>
      </top>
      <bottom style="double">
        <color auto="1"/>
      </bottom>
      <diagonal/>
    </border>
    <border>
      <left style="double">
        <color indexed="64"/>
      </left>
      <right/>
      <top style="double">
        <color auto="1"/>
      </top>
      <bottom style="double">
        <color auto="1"/>
      </bottom>
      <diagonal/>
    </border>
    <border>
      <left style="thin">
        <color rgb="FF000000"/>
      </left>
      <right/>
      <top style="thin">
        <color rgb="FF000000"/>
      </top>
      <bottom style="double">
        <color indexed="64"/>
      </bottom>
      <diagonal/>
    </border>
    <border>
      <left/>
      <right/>
      <top style="thin">
        <color rgb="FF000000"/>
      </top>
      <bottom style="double">
        <color indexed="64"/>
      </bottom>
      <diagonal/>
    </border>
    <border>
      <left/>
      <right style="thin">
        <color rgb="FF000000"/>
      </right>
      <top style="thin">
        <color rgb="FF000000"/>
      </top>
      <bottom style="double">
        <color indexed="64"/>
      </bottom>
      <diagonal/>
    </border>
    <border>
      <left/>
      <right style="double">
        <color rgb="FF000000"/>
      </right>
      <top style="thin">
        <color rgb="FF000000"/>
      </top>
      <bottom style="double">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right style="medium">
        <color indexed="64"/>
      </right>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9">
    <xf numFmtId="0" fontId="0" fillId="0" borderId="0" xfId="0"/>
    <xf numFmtId="0" fontId="4" fillId="0" borderId="2" xfId="0" applyFont="1" applyBorder="1" applyAlignment="1">
      <alignment horizontal="left"/>
    </xf>
    <xf numFmtId="0" fontId="5" fillId="0" borderId="2" xfId="0" applyFont="1" applyBorder="1"/>
    <xf numFmtId="0" fontId="4" fillId="0" borderId="2" xfId="0" applyFont="1" applyBorder="1" applyAlignment="1">
      <alignment horizontal="center"/>
    </xf>
    <xf numFmtId="0" fontId="4" fillId="0" borderId="5" xfId="0" applyFont="1" applyBorder="1" applyAlignment="1">
      <alignment horizontal="left"/>
    </xf>
    <xf numFmtId="0" fontId="5" fillId="0" borderId="5" xfId="0" applyFont="1" applyBorder="1"/>
    <xf numFmtId="0" fontId="5" fillId="0" borderId="0" xfId="0" applyFont="1"/>
    <xf numFmtId="0" fontId="6" fillId="0" borderId="0" xfId="0" applyFont="1"/>
    <xf numFmtId="0" fontId="5" fillId="0" borderId="13" xfId="0" applyFont="1" applyBorder="1" applyAlignment="1">
      <alignment horizontal="center"/>
    </xf>
    <xf numFmtId="0" fontId="8" fillId="0" borderId="17" xfId="0" applyFont="1" applyBorder="1" applyAlignment="1">
      <alignment horizontal="center"/>
    </xf>
    <xf numFmtId="0" fontId="5" fillId="0" borderId="24" xfId="0" applyFont="1" applyBorder="1" applyAlignment="1">
      <alignment horizontal="center"/>
    </xf>
    <xf numFmtId="0" fontId="5" fillId="0" borderId="31" xfId="0" applyFont="1" applyBorder="1" applyAlignment="1">
      <alignment horizontal="center"/>
    </xf>
    <xf numFmtId="0" fontId="7" fillId="0" borderId="0" xfId="0" applyFont="1"/>
    <xf numFmtId="0" fontId="5" fillId="0" borderId="39" xfId="0" applyFont="1" applyBorder="1" applyAlignment="1">
      <alignment horizontal="center"/>
    </xf>
    <xf numFmtId="0" fontId="5" fillId="0" borderId="47" xfId="0" applyFont="1" applyBorder="1" applyAlignment="1">
      <alignment horizontal="center"/>
    </xf>
    <xf numFmtId="0" fontId="5" fillId="0" borderId="48" xfId="0" applyFont="1" applyBorder="1" applyAlignment="1">
      <alignment horizontal="center"/>
    </xf>
    <xf numFmtId="0" fontId="9" fillId="0" borderId="0" xfId="0" applyFont="1"/>
    <xf numFmtId="0" fontId="5" fillId="0" borderId="9" xfId="0" applyFont="1" applyBorder="1" applyAlignment="1">
      <alignment horizontal="center"/>
    </xf>
    <xf numFmtId="0" fontId="5" fillId="0" borderId="49" xfId="0" applyFont="1" applyBorder="1" applyAlignment="1">
      <alignment horizontal="center"/>
    </xf>
    <xf numFmtId="0" fontId="5" fillId="0" borderId="10" xfId="0" applyFont="1" applyBorder="1" applyAlignment="1">
      <alignment horizontal="center"/>
    </xf>
    <xf numFmtId="0" fontId="6" fillId="0" borderId="0" xfId="0" applyFont="1" applyAlignment="1">
      <alignment horizontal="left"/>
    </xf>
    <xf numFmtId="0" fontId="12" fillId="0" borderId="0" xfId="0" applyFont="1"/>
    <xf numFmtId="0" fontId="4" fillId="0" borderId="5" xfId="0" applyFont="1" applyBorder="1" applyAlignment="1">
      <alignment horizontal="center"/>
    </xf>
    <xf numFmtId="0" fontId="11" fillId="0" borderId="0" xfId="0" applyFont="1"/>
    <xf numFmtId="0" fontId="0" fillId="2" borderId="27" xfId="0" applyFill="1" applyBorder="1"/>
    <xf numFmtId="0" fontId="11" fillId="3" borderId="27" xfId="0" applyFont="1" applyFill="1" applyBorder="1"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center" vertical="center"/>
    </xf>
    <xf numFmtId="0" fontId="11" fillId="0" borderId="0" xfId="0" applyFont="1" applyAlignment="1">
      <alignment horizontal="center"/>
    </xf>
    <xf numFmtId="0" fontId="0" fillId="0" borderId="2" xfId="0" applyBorder="1"/>
    <xf numFmtId="0" fontId="13" fillId="0" borderId="2" xfId="0" applyFont="1" applyBorder="1" applyAlignment="1">
      <alignment vertical="top" wrapText="1"/>
    </xf>
    <xf numFmtId="0" fontId="11" fillId="0" borderId="5" xfId="0" applyFont="1" applyBorder="1"/>
    <xf numFmtId="0" fontId="16" fillId="5" borderId="55" xfId="0" applyFont="1" applyFill="1" applyBorder="1" applyAlignment="1">
      <alignment horizontal="center" vertical="center" wrapText="1"/>
    </xf>
    <xf numFmtId="0" fontId="16" fillId="6" borderId="55" xfId="0" applyFont="1" applyFill="1" applyBorder="1" applyAlignment="1">
      <alignment horizontal="center" vertical="center" wrapText="1"/>
    </xf>
    <xf numFmtId="0" fontId="16" fillId="4" borderId="55" xfId="0" applyFont="1" applyFill="1" applyBorder="1" applyAlignment="1">
      <alignment horizontal="center" vertical="center" wrapText="1"/>
    </xf>
    <xf numFmtId="0" fontId="2" fillId="0" borderId="56" xfId="0" applyFont="1" applyBorder="1" applyAlignment="1">
      <alignment vertical="top" wrapText="1"/>
    </xf>
    <xf numFmtId="0" fontId="13" fillId="0" borderId="56" xfId="0" applyFont="1" applyBorder="1" applyAlignment="1">
      <alignment vertical="top" wrapText="1"/>
    </xf>
    <xf numFmtId="0" fontId="19" fillId="0" borderId="27" xfId="0" applyFont="1" applyBorder="1" applyAlignment="1">
      <alignment horizontal="center" vertical="center"/>
    </xf>
    <xf numFmtId="0" fontId="11" fillId="7" borderId="27" xfId="0" applyFont="1" applyFill="1" applyBorder="1" applyAlignment="1">
      <alignment horizontal="center" vertical="center"/>
    </xf>
    <xf numFmtId="0" fontId="0" fillId="2" borderId="27" xfId="0" applyFill="1" applyBorder="1" applyAlignment="1">
      <alignment horizontal="center"/>
    </xf>
    <xf numFmtId="0" fontId="0" fillId="2" borderId="27" xfId="0" applyFill="1" applyBorder="1" applyAlignment="1">
      <alignment horizontal="left" vertical="center"/>
    </xf>
    <xf numFmtId="0" fontId="0" fillId="2" borderId="27" xfId="0" applyFill="1" applyBorder="1" applyAlignment="1">
      <alignment horizontal="center" vertical="center"/>
    </xf>
    <xf numFmtId="0" fontId="23" fillId="0" borderId="27" xfId="0" applyFont="1" applyBorder="1" applyAlignment="1">
      <alignment horizontal="center" vertical="center"/>
    </xf>
    <xf numFmtId="0" fontId="24" fillId="0" borderId="0" xfId="0" applyFont="1"/>
    <xf numFmtId="0" fontId="0" fillId="8" borderId="27" xfId="0" applyFill="1" applyBorder="1"/>
    <xf numFmtId="0" fontId="0" fillId="9" borderId="27" xfId="0" applyFill="1" applyBorder="1"/>
    <xf numFmtId="0" fontId="11" fillId="8" borderId="27" xfId="0" applyFont="1" applyFill="1" applyBorder="1" applyAlignment="1">
      <alignment horizontal="center" vertical="center"/>
    </xf>
    <xf numFmtId="0" fontId="0" fillId="8" borderId="27" xfId="0" applyFill="1" applyBorder="1" applyAlignment="1">
      <alignment horizontal="center" vertical="center"/>
    </xf>
    <xf numFmtId="0" fontId="0" fillId="9" borderId="27" xfId="0" applyFill="1" applyBorder="1" applyAlignment="1">
      <alignment horizontal="center" vertical="center"/>
    </xf>
    <xf numFmtId="0" fontId="6" fillId="0" borderId="3" xfId="0" applyFont="1" applyBorder="1" applyAlignment="1">
      <alignment horizontal="left" vertical="center"/>
    </xf>
    <xf numFmtId="0" fontId="6" fillId="0" borderId="6" xfId="0" applyFont="1" applyBorder="1" applyAlignment="1">
      <alignment horizontal="left" vertical="center"/>
    </xf>
    <xf numFmtId="0" fontId="0" fillId="2" borderId="27" xfId="0" quotePrefix="1" applyFill="1" applyBorder="1" applyAlignment="1">
      <alignment horizontal="center" vertical="center"/>
    </xf>
    <xf numFmtId="0" fontId="2" fillId="0" borderId="33" xfId="0" applyFont="1" applyBorder="1" applyAlignment="1">
      <alignment horizontal="center"/>
    </xf>
    <xf numFmtId="0" fontId="2" fillId="0" borderId="35" xfId="0" applyFont="1" applyBorder="1" applyAlignment="1">
      <alignment horizontal="center"/>
    </xf>
    <xf numFmtId="0" fontId="2" fillId="0" borderId="27" xfId="0" applyFont="1" applyBorder="1" applyAlignment="1">
      <alignment horizontal="center"/>
    </xf>
    <xf numFmtId="0" fontId="4" fillId="0" borderId="7" xfId="0" applyFont="1" applyBorder="1" applyAlignment="1">
      <alignment horizontal="center"/>
    </xf>
    <xf numFmtId="0" fontId="4" fillId="0" borderId="11" xfId="0" applyFont="1" applyBorder="1" applyAlignment="1">
      <alignment horizontal="center"/>
    </xf>
    <xf numFmtId="0" fontId="2" fillId="0" borderId="13" xfId="0" applyFont="1" applyBorder="1" applyAlignment="1">
      <alignment horizontal="center"/>
    </xf>
    <xf numFmtId="0" fontId="2" fillId="0" borderId="17" xfId="0" applyFont="1" applyBorder="1" applyAlignment="1">
      <alignment horizontal="center"/>
    </xf>
    <xf numFmtId="0" fontId="4" fillId="0" borderId="22" xfId="0" applyFont="1" applyBorder="1" applyAlignment="1">
      <alignment horizontal="center"/>
    </xf>
    <xf numFmtId="0" fontId="0" fillId="0" borderId="0" xfId="0" applyAlignment="1">
      <alignment horizontal="right" vertical="center"/>
    </xf>
    <xf numFmtId="0" fontId="2" fillId="0" borderId="0" xfId="0" applyFont="1" applyAlignment="1">
      <alignment horizontal="center"/>
    </xf>
    <xf numFmtId="0" fontId="4" fillId="0" borderId="0" xfId="0" applyFont="1" applyAlignment="1">
      <alignment horizontal="center" vertical="center"/>
    </xf>
    <xf numFmtId="0" fontId="4" fillId="0" borderId="51" xfId="0" applyFont="1" applyBorder="1" applyAlignment="1">
      <alignment horizontal="center"/>
    </xf>
    <xf numFmtId="0" fontId="0" fillId="3" borderId="27" xfId="0" applyFill="1" applyBorder="1" applyAlignment="1">
      <alignment horizontal="center"/>
    </xf>
    <xf numFmtId="0" fontId="0" fillId="7" borderId="27" xfId="0" quotePrefix="1" applyFill="1" applyBorder="1" applyAlignment="1">
      <alignment horizontal="left" vertical="center"/>
    </xf>
    <xf numFmtId="0" fontId="0" fillId="8" borderId="27" xfId="0" quotePrefix="1" applyFill="1" applyBorder="1" applyAlignment="1">
      <alignment horizontal="left" vertical="center"/>
    </xf>
    <xf numFmtId="0" fontId="0" fillId="8" borderId="27" xfId="0" quotePrefix="1" applyFill="1" applyBorder="1" applyAlignment="1">
      <alignment horizontal="center" vertical="center"/>
    </xf>
    <xf numFmtId="0" fontId="11" fillId="2" borderId="27" xfId="0" applyFont="1" applyFill="1" applyBorder="1" applyAlignment="1">
      <alignment horizontal="center" vertical="center" wrapText="1"/>
    </xf>
    <xf numFmtId="0" fontId="16" fillId="8" borderId="27" xfId="0" applyFont="1" applyFill="1" applyBorder="1" applyAlignment="1">
      <alignment horizontal="center" vertical="center" wrapText="1"/>
    </xf>
    <xf numFmtId="0" fontId="16" fillId="2" borderId="27" xfId="0" applyFont="1" applyFill="1" applyBorder="1" applyAlignment="1">
      <alignment horizontal="center" vertical="center" wrapText="1"/>
    </xf>
    <xf numFmtId="0" fontId="29" fillId="0" borderId="0" xfId="0" applyFont="1" applyAlignment="1">
      <alignment horizontal="center" vertical="center"/>
    </xf>
    <xf numFmtId="0" fontId="26" fillId="0" borderId="2" xfId="0" applyFont="1" applyBorder="1" applyAlignment="1">
      <alignment horizontal="left" vertical="center"/>
    </xf>
    <xf numFmtId="0" fontId="0" fillId="0" borderId="0" xfId="0" applyProtection="1">
      <protection locked="0"/>
    </xf>
    <xf numFmtId="0" fontId="17" fillId="0" borderId="0" xfId="0" applyFont="1"/>
    <xf numFmtId="0" fontId="18" fillId="0" borderId="0" xfId="0" applyFont="1"/>
    <xf numFmtId="0" fontId="32" fillId="0" borderId="0" xfId="0" applyFont="1"/>
    <xf numFmtId="0" fontId="33" fillId="0" borderId="0" xfId="0" applyFont="1" applyAlignment="1">
      <alignment horizontal="center" vertical="center"/>
    </xf>
    <xf numFmtId="0" fontId="33" fillId="0" borderId="0" xfId="0" applyFont="1"/>
    <xf numFmtId="0" fontId="34" fillId="0" borderId="0" xfId="0" applyFont="1"/>
    <xf numFmtId="0" fontId="35" fillId="0" borderId="0" xfId="0" applyFont="1"/>
    <xf numFmtId="0" fontId="37" fillId="0" borderId="0" xfId="0" applyFont="1"/>
    <xf numFmtId="0" fontId="38" fillId="0" borderId="0" xfId="0" applyFont="1"/>
    <xf numFmtId="0" fontId="39" fillId="0" borderId="0" xfId="0" applyFont="1"/>
    <xf numFmtId="0" fontId="0" fillId="7" borderId="27" xfId="0" quotePrefix="1" applyFill="1" applyBorder="1" applyAlignment="1">
      <alignment horizontal="center" vertical="center"/>
    </xf>
    <xf numFmtId="0" fontId="0" fillId="3" borderId="27" xfId="0" quotePrefix="1" applyFill="1" applyBorder="1" applyAlignment="1">
      <alignment horizontal="center" vertical="center"/>
    </xf>
    <xf numFmtId="0" fontId="2" fillId="0" borderId="46" xfId="0" applyFont="1" applyBorder="1" applyAlignment="1">
      <alignment horizontal="center"/>
    </xf>
    <xf numFmtId="0" fontId="2" fillId="0" borderId="53" xfId="0" applyFont="1" applyBorder="1" applyAlignment="1">
      <alignment horizontal="center"/>
    </xf>
    <xf numFmtId="0" fontId="2" fillId="0" borderId="54" xfId="0" applyFont="1" applyBorder="1" applyAlignment="1">
      <alignment horizontal="center"/>
    </xf>
    <xf numFmtId="0" fontId="0" fillId="0" borderId="65" xfId="0" applyBorder="1" applyProtection="1">
      <protection locked="0"/>
    </xf>
    <xf numFmtId="0" fontId="0" fillId="0" borderId="68" xfId="0" applyBorder="1" applyProtection="1">
      <protection locked="0"/>
    </xf>
    <xf numFmtId="0" fontId="0" fillId="0" borderId="69" xfId="0" applyBorder="1" applyProtection="1">
      <protection locked="0"/>
    </xf>
    <xf numFmtId="0" fontId="21" fillId="9" borderId="64" xfId="0" applyFont="1" applyFill="1" applyBorder="1" applyAlignment="1" applyProtection="1">
      <alignment horizontal="center" vertical="center"/>
      <protection locked="0"/>
    </xf>
    <xf numFmtId="0" fontId="11" fillId="8" borderId="27" xfId="0" applyFont="1" applyFill="1" applyBorder="1" applyAlignment="1">
      <alignment horizontal="center" vertical="center"/>
    </xf>
    <xf numFmtId="0" fontId="11" fillId="2" borderId="27" xfId="0" applyFont="1" applyFill="1" applyBorder="1" applyAlignment="1">
      <alignment horizontal="center" vertical="center"/>
    </xf>
    <xf numFmtId="0" fontId="11" fillId="9" borderId="27" xfId="0" applyFont="1" applyFill="1" applyBorder="1" applyAlignment="1">
      <alignment horizontal="center" vertical="center"/>
    </xf>
    <xf numFmtId="0" fontId="11" fillId="7" borderId="27" xfId="0" applyFont="1" applyFill="1" applyBorder="1" applyAlignment="1">
      <alignment horizontal="center" vertical="center"/>
    </xf>
    <xf numFmtId="0" fontId="11" fillId="3" borderId="27" xfId="0" applyFont="1" applyFill="1" applyBorder="1" applyAlignment="1">
      <alignment horizontal="center" vertical="center"/>
    </xf>
    <xf numFmtId="0" fontId="22" fillId="9" borderId="66" xfId="0" applyFont="1" applyFill="1" applyBorder="1" applyAlignment="1" applyProtection="1">
      <alignment horizontal="center" vertical="center"/>
      <protection locked="0"/>
    </xf>
    <xf numFmtId="0" fontId="22" fillId="9" borderId="67" xfId="0" applyFont="1" applyFill="1" applyBorder="1" applyAlignment="1" applyProtection="1">
      <alignment horizontal="center" vertical="center"/>
      <protection locked="0"/>
    </xf>
    <xf numFmtId="0" fontId="2" fillId="0" borderId="4" xfId="0" applyFont="1" applyBorder="1" applyAlignment="1">
      <alignment horizontal="left"/>
    </xf>
    <xf numFmtId="0" fontId="3" fillId="0" borderId="5" xfId="0" applyFont="1" applyBorder="1"/>
    <xf numFmtId="0" fontId="26" fillId="0" borderId="5" xfId="0" applyFont="1" applyBorder="1" applyAlignment="1">
      <alignment horizontal="left" vertical="center"/>
    </xf>
    <xf numFmtId="0" fontId="1" fillId="0" borderId="0" xfId="0" applyFont="1" applyAlignment="1">
      <alignment horizontal="center"/>
    </xf>
    <xf numFmtId="0" fontId="0" fillId="0" borderId="0" xfId="0"/>
    <xf numFmtId="0" fontId="2" fillId="0" borderId="1" xfId="0" applyFont="1" applyBorder="1" applyAlignment="1">
      <alignment horizontal="left"/>
    </xf>
    <xf numFmtId="0" fontId="3" fillId="0" borderId="2" xfId="0" applyFont="1" applyBorder="1"/>
    <xf numFmtId="0" fontId="4" fillId="0" borderId="8" xfId="0" applyFont="1" applyBorder="1" applyAlignment="1">
      <alignment horizontal="center"/>
    </xf>
    <xf numFmtId="0" fontId="26" fillId="0" borderId="9" xfId="0" applyFont="1" applyBorder="1"/>
    <xf numFmtId="0" fontId="26" fillId="0" borderId="10" xfId="0" applyFont="1" applyBorder="1"/>
    <xf numFmtId="0" fontId="26" fillId="0" borderId="12" xfId="0" applyFont="1" applyBorder="1"/>
    <xf numFmtId="0" fontId="2" fillId="0" borderId="14" xfId="0" applyFont="1" applyBorder="1" applyAlignment="1">
      <alignment horizontal="center"/>
    </xf>
    <xf numFmtId="0" fontId="27" fillId="0" borderId="15" xfId="0" applyFont="1" applyBorder="1"/>
    <xf numFmtId="0" fontId="27" fillId="0" borderId="16" xfId="0" applyFont="1" applyBorder="1"/>
    <xf numFmtId="0" fontId="27" fillId="0" borderId="18" xfId="0" applyFont="1" applyBorder="1"/>
    <xf numFmtId="0" fontId="26" fillId="0" borderId="8" xfId="0" applyFont="1" applyBorder="1" applyAlignment="1">
      <alignment horizontal="center"/>
    </xf>
    <xf numFmtId="0" fontId="2" fillId="0" borderId="32" xfId="0" applyFont="1" applyBorder="1" applyAlignment="1">
      <alignment horizontal="center"/>
    </xf>
    <xf numFmtId="0" fontId="2" fillId="0" borderId="33" xfId="0" applyFont="1" applyBorder="1" applyAlignment="1">
      <alignment horizontal="center"/>
    </xf>
    <xf numFmtId="0" fontId="2" fillId="0" borderId="34" xfId="0" applyFont="1" applyBorder="1" applyAlignment="1">
      <alignment horizontal="center"/>
    </xf>
    <xf numFmtId="0" fontId="2" fillId="0" borderId="36" xfId="0" quotePrefix="1" applyFont="1" applyBorder="1" applyAlignment="1">
      <alignment horizontal="center"/>
    </xf>
    <xf numFmtId="0" fontId="2" fillId="0" borderId="37" xfId="0" applyFont="1" applyBorder="1" applyAlignment="1">
      <alignment horizontal="center"/>
    </xf>
    <xf numFmtId="0" fontId="2" fillId="0" borderId="38"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4" fillId="0" borderId="19" xfId="0" applyFont="1" applyBorder="1" applyAlignment="1">
      <alignment horizontal="center"/>
    </xf>
    <xf numFmtId="0" fontId="26" fillId="0" borderId="20" xfId="0" applyFont="1" applyBorder="1"/>
    <xf numFmtId="0" fontId="26" fillId="0" borderId="21" xfId="0" applyFont="1" applyBorder="1"/>
    <xf numFmtId="0" fontId="26" fillId="0" borderId="23" xfId="0" applyFont="1" applyBorder="1"/>
    <xf numFmtId="0" fontId="8" fillId="0" borderId="25" xfId="0" applyFont="1" applyBorder="1" applyAlignment="1">
      <alignment horizontal="center"/>
    </xf>
    <xf numFmtId="0" fontId="3" fillId="0" borderId="26" xfId="0" applyFont="1" applyBorder="1"/>
    <xf numFmtId="0" fontId="2" fillId="0" borderId="28" xfId="0" applyFont="1" applyBorder="1" applyAlignment="1">
      <alignment horizontal="center"/>
    </xf>
    <xf numFmtId="0" fontId="2" fillId="0" borderId="29" xfId="0" applyFont="1" applyBorder="1" applyAlignment="1">
      <alignment horizontal="center"/>
    </xf>
    <xf numFmtId="0" fontId="2" fillId="0" borderId="30" xfId="0" applyFont="1" applyBorder="1" applyAlignment="1">
      <alignment horizontal="center"/>
    </xf>
    <xf numFmtId="0" fontId="5" fillId="0" borderId="40" xfId="0" applyFont="1" applyBorder="1" applyAlignment="1">
      <alignment horizontal="left" vertical="center"/>
    </xf>
    <xf numFmtId="0" fontId="5" fillId="0" borderId="41" xfId="0" applyFont="1" applyBorder="1" applyAlignment="1">
      <alignment horizontal="left" vertical="center"/>
    </xf>
    <xf numFmtId="0" fontId="5" fillId="0" borderId="42" xfId="0" applyFont="1" applyBorder="1" applyAlignment="1">
      <alignment horizontal="left" vertical="center"/>
    </xf>
    <xf numFmtId="0" fontId="21" fillId="10" borderId="61" xfId="0" applyFont="1" applyFill="1" applyBorder="1" applyAlignment="1" applyProtection="1">
      <alignment horizontal="center" vertical="center"/>
      <protection locked="0"/>
    </xf>
    <xf numFmtId="0" fontId="21" fillId="10" borderId="62" xfId="0" applyFont="1" applyFill="1" applyBorder="1" applyAlignment="1" applyProtection="1">
      <alignment horizontal="center" vertical="center"/>
      <protection locked="0"/>
    </xf>
    <xf numFmtId="0" fontId="21" fillId="10" borderId="63" xfId="0" applyFont="1" applyFill="1" applyBorder="1" applyAlignment="1" applyProtection="1">
      <alignment horizontal="center" vertical="center"/>
      <protection locked="0"/>
    </xf>
    <xf numFmtId="0" fontId="5" fillId="0" borderId="57" xfId="0" applyFont="1" applyBorder="1" applyAlignment="1">
      <alignment horizontal="left" vertical="center"/>
    </xf>
    <xf numFmtId="0" fontId="5" fillId="0" borderId="58" xfId="0" applyFont="1" applyBorder="1" applyAlignment="1">
      <alignment horizontal="left" vertical="center"/>
    </xf>
    <xf numFmtId="0" fontId="5" fillId="0" borderId="59" xfId="0" applyFont="1" applyBorder="1" applyAlignment="1">
      <alignment horizontal="left" vertical="center"/>
    </xf>
    <xf numFmtId="0" fontId="20" fillId="0" borderId="55" xfId="0" applyFont="1" applyBorder="1" applyAlignment="1">
      <alignment horizontal="justify" vertical="justify"/>
    </xf>
    <xf numFmtId="0" fontId="4" fillId="0" borderId="8" xfId="0" applyFont="1" applyBorder="1"/>
    <xf numFmtId="0" fontId="4" fillId="0" borderId="9" xfId="0" applyFont="1" applyBorder="1"/>
    <xf numFmtId="0" fontId="4" fillId="0" borderId="12" xfId="0" applyFont="1" applyBorder="1"/>
    <xf numFmtId="0" fontId="2" fillId="0" borderId="57" xfId="0" applyFont="1" applyBorder="1" applyAlignment="1">
      <alignment horizontal="center"/>
    </xf>
    <xf numFmtId="0" fontId="2" fillId="0" borderId="58" xfId="0" applyFont="1" applyBorder="1" applyAlignment="1">
      <alignment horizontal="center"/>
    </xf>
    <xf numFmtId="0" fontId="2" fillId="0" borderId="60" xfId="0" applyFont="1" applyBorder="1" applyAlignment="1">
      <alignment horizontal="center"/>
    </xf>
    <xf numFmtId="0" fontId="4" fillId="0" borderId="49" xfId="0" applyFont="1" applyBorder="1" applyAlignment="1">
      <alignment horizontal="center"/>
    </xf>
    <xf numFmtId="0" fontId="2" fillId="0" borderId="50" xfId="0" quotePrefix="1" applyFont="1" applyBorder="1" applyAlignment="1">
      <alignment horizontal="center"/>
    </xf>
    <xf numFmtId="0" fontId="2" fillId="0" borderId="14" xfId="0" quotePrefix="1" applyFont="1" applyBorder="1" applyAlignment="1">
      <alignment horizontal="center"/>
    </xf>
    <xf numFmtId="0" fontId="5" fillId="0" borderId="52" xfId="0" applyFont="1" applyBorder="1" applyAlignment="1">
      <alignment horizontal="left"/>
    </xf>
    <xf numFmtId="0" fontId="5" fillId="0" borderId="41" xfId="0" applyFont="1" applyBorder="1" applyAlignment="1">
      <alignment horizontal="left"/>
    </xf>
    <xf numFmtId="0" fontId="5" fillId="0" borderId="42" xfId="0" applyFont="1" applyBorder="1" applyAlignment="1">
      <alignment horizontal="left"/>
    </xf>
    <xf numFmtId="0" fontId="5" fillId="0" borderId="52" xfId="0" applyFont="1" applyBorder="1" applyAlignment="1">
      <alignment horizontal="left" vertical="center"/>
    </xf>
    <xf numFmtId="0" fontId="5" fillId="0" borderId="50" xfId="0" applyFont="1" applyBorder="1" applyAlignment="1">
      <alignment horizontal="left" vertical="center"/>
    </xf>
    <xf numFmtId="0" fontId="5" fillId="0" borderId="15" xfId="0" applyFont="1" applyBorder="1" applyAlignment="1">
      <alignment horizontal="left" vertical="center"/>
    </xf>
    <xf numFmtId="0" fontId="5" fillId="0" borderId="16" xfId="0" applyFont="1" applyBorder="1" applyAlignment="1">
      <alignment horizontal="left" vertical="center"/>
    </xf>
    <xf numFmtId="0" fontId="0" fillId="0" borderId="0" xfId="0" applyAlignment="1">
      <alignment horizontal="right" vertical="center"/>
    </xf>
    <xf numFmtId="0" fontId="4" fillId="0" borderId="0" xfId="0" applyFont="1" applyAlignment="1">
      <alignment horizontal="center"/>
    </xf>
    <xf numFmtId="0" fontId="28" fillId="0" borderId="0" xfId="0" applyFont="1" applyAlignment="1">
      <alignment horizontal="center"/>
    </xf>
    <xf numFmtId="0" fontId="11" fillId="0" borderId="0" xfId="0" applyFont="1" applyAlignment="1">
      <alignment horizontal="center" vertical="center"/>
    </xf>
    <xf numFmtId="0" fontId="29" fillId="0" borderId="0" xfId="0" applyFont="1" applyAlignment="1">
      <alignment horizontal="center" vertical="center"/>
    </xf>
    <xf numFmtId="0" fontId="36"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pin" dx="31" fmlaLink="$L$4" max="30000" page="10"/>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38100</xdr:colOff>
      <xdr:row>1</xdr:row>
      <xdr:rowOff>25400</xdr:rowOff>
    </xdr:from>
    <xdr:to>
      <xdr:col>9</xdr:col>
      <xdr:colOff>317500</xdr:colOff>
      <xdr:row>4</xdr:row>
      <xdr:rowOff>355600</xdr:rowOff>
    </xdr:to>
    <xdr:sp macro="" textlink="">
      <xdr:nvSpPr>
        <xdr:cNvPr id="5" name="Speech Bubble: Rectangle 4">
          <a:extLst>
            <a:ext uri="{FF2B5EF4-FFF2-40B4-BE49-F238E27FC236}">
              <a16:creationId xmlns:a16="http://schemas.microsoft.com/office/drawing/2014/main" id="{C9324F75-BA50-0FFA-6674-362A7B83AA40}"/>
            </a:ext>
          </a:extLst>
        </xdr:cNvPr>
        <xdr:cNvSpPr/>
      </xdr:nvSpPr>
      <xdr:spPr>
        <a:xfrm>
          <a:off x="7035800" y="215900"/>
          <a:ext cx="3327400" cy="1619250"/>
        </a:xfrm>
        <a:prstGeom prst="wedgeRectCallou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r>
            <a:rPr lang="en-ID" sz="1200" b="1">
              <a:solidFill>
                <a:schemeClr val="lt1"/>
              </a:solidFill>
              <a:effectLst/>
              <a:latin typeface="+mn-lt"/>
              <a:ea typeface="+mn-ea"/>
              <a:cs typeface="+mn-cs"/>
            </a:rPr>
            <a:t>Sheet</a:t>
          </a:r>
          <a:r>
            <a:rPr lang="en-ID" sz="1200" b="1" baseline="0">
              <a:solidFill>
                <a:schemeClr val="lt1"/>
              </a:solidFill>
              <a:effectLst/>
              <a:latin typeface="+mn-lt"/>
              <a:ea typeface="+mn-ea"/>
              <a:cs typeface="+mn-cs"/>
            </a:rPr>
            <a:t> ini adalah tempat untuk merubah isi deskripsi indikator "tidak tercapai", "tercapai" dan "melampaui".</a:t>
          </a:r>
        </a:p>
        <a:p>
          <a:endParaRPr lang="en-ID" sz="1200">
            <a:effectLst/>
          </a:endParaRPr>
        </a:p>
        <a:p>
          <a:r>
            <a:rPr lang="en-ID" sz="1200" b="1" baseline="0">
              <a:solidFill>
                <a:schemeClr val="lt1"/>
              </a:solidFill>
              <a:effectLst/>
              <a:latin typeface="+mn-lt"/>
              <a:ea typeface="+mn-ea"/>
              <a:cs typeface="+mn-cs"/>
            </a:rPr>
            <a:t>Jika kalimat deskripsi ingin diubah, maka ubahlah di sheet ini, langsung pada kalimat/kata-kata deskripsi yang ingin diubah tersebut.</a:t>
          </a:r>
          <a:endParaRPr lang="en-ID" sz="1200">
            <a:effectLst/>
          </a:endParaRPr>
        </a:p>
        <a:p>
          <a:pPr algn="l"/>
          <a:endParaRPr lang="en-ID"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139700</xdr:colOff>
      <xdr:row>0</xdr:row>
      <xdr:rowOff>95250</xdr:rowOff>
    </xdr:from>
    <xdr:to>
      <xdr:col>8</xdr:col>
      <xdr:colOff>419100</xdr:colOff>
      <xdr:row>9</xdr:row>
      <xdr:rowOff>57150</xdr:rowOff>
    </xdr:to>
    <xdr:sp macro="" textlink="">
      <xdr:nvSpPr>
        <xdr:cNvPr id="2" name="Speech Bubble: Rectangle 1">
          <a:extLst>
            <a:ext uri="{FF2B5EF4-FFF2-40B4-BE49-F238E27FC236}">
              <a16:creationId xmlns:a16="http://schemas.microsoft.com/office/drawing/2014/main" id="{4501848F-72A7-446D-8B3A-2973A7CB392D}"/>
            </a:ext>
          </a:extLst>
        </xdr:cNvPr>
        <xdr:cNvSpPr/>
      </xdr:nvSpPr>
      <xdr:spPr>
        <a:xfrm>
          <a:off x="2673350" y="95250"/>
          <a:ext cx="3327400" cy="1619250"/>
        </a:xfrm>
        <a:prstGeom prst="wedgeRectCallou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D" sz="1200" b="1">
              <a:solidFill>
                <a:schemeClr val="lt1"/>
              </a:solidFill>
              <a:effectLst/>
              <a:latin typeface="+mn-lt"/>
              <a:ea typeface="+mn-ea"/>
              <a:cs typeface="+mn-cs"/>
            </a:rPr>
            <a:t>Aturan Predikat</a:t>
          </a:r>
        </a:p>
        <a:p>
          <a:endParaRPr lang="en-ID" sz="1200" b="0">
            <a:solidFill>
              <a:schemeClr val="lt1"/>
            </a:solidFill>
            <a:effectLst/>
            <a:latin typeface="+mn-lt"/>
            <a:ea typeface="+mn-ea"/>
            <a:cs typeface="+mn-cs"/>
          </a:endParaRPr>
        </a:p>
        <a:p>
          <a:r>
            <a:rPr lang="en-ID" sz="1200" b="0" baseline="0">
              <a:solidFill>
                <a:schemeClr val="lt1"/>
              </a:solidFill>
              <a:effectLst/>
              <a:latin typeface="+mn-lt"/>
              <a:ea typeface="+mn-ea"/>
              <a:cs typeface="+mn-cs"/>
            </a:rPr>
            <a:t>1. Harus diisi urut dari nilai terendah.</a:t>
          </a:r>
        </a:p>
        <a:p>
          <a:r>
            <a:rPr lang="en-ID" sz="1200" b="0" baseline="0">
              <a:solidFill>
                <a:schemeClr val="lt1"/>
              </a:solidFill>
              <a:effectLst/>
              <a:latin typeface="+mn-lt"/>
              <a:ea typeface="+mn-ea"/>
              <a:cs typeface="+mn-cs"/>
            </a:rPr>
            <a:t>2. Tulis batas minimal nilainya. Contoh Maqbul = 65-70, maka tulis 65. Jayyid 71-80, maka tulis 71.</a:t>
          </a:r>
        </a:p>
        <a:p>
          <a:r>
            <a:rPr lang="en-ID" sz="1200" b="0"/>
            <a:t>3. Rentang batas nilai boleh diganti sesuai kebutuhan dan otomatis</a:t>
          </a:r>
          <a:r>
            <a:rPr lang="en-ID" sz="1200" b="0" baseline="0"/>
            <a:t> akan diterapkan di rapor karena sudah terintegrasi.</a:t>
          </a:r>
          <a:endParaRPr lang="en-ID" sz="1200" b="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400050</xdr:colOff>
      <xdr:row>0</xdr:row>
      <xdr:rowOff>0</xdr:rowOff>
    </xdr:from>
    <xdr:ext cx="5067300" cy="5229225"/>
    <xdr:sp macro="" textlink="">
      <xdr:nvSpPr>
        <xdr:cNvPr id="4" name="Rectangle 3" hidden="1">
          <a:extLst>
            <a:ext uri="{FF2B5EF4-FFF2-40B4-BE49-F238E27FC236}">
              <a16:creationId xmlns:a16="http://schemas.microsoft.com/office/drawing/2014/main" id="{00000000-0008-0000-0700-000004000000}"/>
            </a:ext>
          </a:extLst>
        </xdr:cNvPr>
        <xdr:cNvSpPr/>
      </xdr:nvSpPr>
      <xdr:spPr>
        <a:xfrm>
          <a:off x="390525" y="1819275"/>
          <a:ext cx="5067300" cy="5229225"/>
        </a:xfrm>
        <a:prstGeom prst="rect">
          <a:avLst/>
        </a:prstGeom>
        <a:blipFill rotWithShape="1">
          <a:blip xmlns:r="http://schemas.openxmlformats.org/officeDocument/2006/relationships" r:embed="rId1">
            <a:alphaModFix amt="32000"/>
          </a:blip>
          <a:srcRect/>
          <a:stretch>
            <a:fillRect/>
          </a:stretch>
        </a:blipFill>
        <a:ln w="25400" cap="flat" cmpd="sng" algn="ctr">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US" sz="11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400050</xdr:colOff>
      <xdr:row>8</xdr:row>
      <xdr:rowOff>104775</xdr:rowOff>
    </xdr:from>
    <xdr:ext cx="5067300" cy="5229225"/>
    <xdr:sp macro="" textlink="">
      <xdr:nvSpPr>
        <xdr:cNvPr id="4" name="Rectangle 3" hidden="1">
          <a:extLst>
            <a:ext uri="{FF2B5EF4-FFF2-40B4-BE49-F238E27FC236}">
              <a16:creationId xmlns:a16="http://schemas.microsoft.com/office/drawing/2014/main" id="{00000000-0008-0000-0000-000004000000}"/>
            </a:ext>
          </a:extLst>
        </xdr:cNvPr>
        <xdr:cNvSpPr/>
      </xdr:nvSpPr>
      <xdr:spPr>
        <a:xfrm>
          <a:off x="390525" y="1819275"/>
          <a:ext cx="5067300" cy="5229225"/>
        </a:xfrm>
        <a:prstGeom prst="rect">
          <a:avLst/>
        </a:prstGeom>
        <a:blipFill rotWithShape="1">
          <a:blip xmlns:r="http://schemas.openxmlformats.org/officeDocument/2006/relationships" r:embed="rId1">
            <a:alphaModFix amt="32000"/>
          </a:blip>
          <a:srcRect/>
          <a:stretch>
            <a:fillRect/>
          </a:stretch>
        </a:blipFill>
        <a:ln w="25400" cap="flat" cmpd="sng" algn="ctr">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US" sz="1100"/>
        </a:p>
      </xdr:txBody>
    </xdr:sp>
    <xdr:clientData fLocksWithSheet="0"/>
  </xdr:oneCellAnchor>
  <xdr:oneCellAnchor>
    <xdr:from>
      <xdr:col>0</xdr:col>
      <xdr:colOff>285750</xdr:colOff>
      <xdr:row>1</xdr:row>
      <xdr:rowOff>38100</xdr:rowOff>
    </xdr:from>
    <xdr:ext cx="742950" cy="581025"/>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xfrm>
          <a:off x="285750" y="228600"/>
          <a:ext cx="742950" cy="581025"/>
        </a:xfrm>
        <a:prstGeom prst="rect">
          <a:avLst/>
        </a:prstGeom>
        <a:noFill/>
      </xdr:spPr>
    </xdr:pic>
    <xdr:clientData fLocksWithSheet="0"/>
  </xdr:oneCellAnchor>
  <xdr:twoCellAnchor>
    <xdr:from>
      <xdr:col>0</xdr:col>
      <xdr:colOff>388422</xdr:colOff>
      <xdr:row>8</xdr:row>
      <xdr:rowOff>181429</xdr:rowOff>
    </xdr:from>
    <xdr:to>
      <xdr:col>7</xdr:col>
      <xdr:colOff>938645</xdr:colOff>
      <xdr:row>37</xdr:row>
      <xdr:rowOff>44824</xdr:rowOff>
    </xdr:to>
    <xdr:sp macro="" textlink="">
      <xdr:nvSpPr>
        <xdr:cNvPr id="2" name="Rectangle 1">
          <a:extLst>
            <a:ext uri="{FF2B5EF4-FFF2-40B4-BE49-F238E27FC236}">
              <a16:creationId xmlns:a16="http://schemas.microsoft.com/office/drawing/2014/main" id="{3F5AA42B-EE21-4936-CCE6-1E835A3CE570}"/>
            </a:ext>
          </a:extLst>
        </xdr:cNvPr>
        <xdr:cNvSpPr/>
      </xdr:nvSpPr>
      <xdr:spPr>
        <a:xfrm>
          <a:off x="388422" y="1847370"/>
          <a:ext cx="5264164" cy="5436454"/>
        </a:xfrm>
        <a:prstGeom prst="rect">
          <a:avLst/>
        </a:prstGeom>
        <a:blipFill dpi="0" rotWithShape="1">
          <a:blip xmlns:r="http://schemas.openxmlformats.org/officeDocument/2006/relationships" r:embed="rId3">
            <a:alphaModFix amt="25000"/>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mc:AlternateContent xmlns:mc="http://schemas.openxmlformats.org/markup-compatibility/2006">
    <mc:Choice xmlns:a14="http://schemas.microsoft.com/office/drawing/2010/main" Requires="a14">
      <xdr:twoCellAnchor>
        <xdr:from>
          <xdr:col>12</xdr:col>
          <xdr:colOff>31750</xdr:colOff>
          <xdr:row>2</xdr:row>
          <xdr:rowOff>19050</xdr:rowOff>
        </xdr:from>
        <xdr:to>
          <xdr:col>13</xdr:col>
          <xdr:colOff>609600</xdr:colOff>
          <xdr:row>4</xdr:row>
          <xdr:rowOff>177800</xdr:rowOff>
        </xdr:to>
        <xdr:sp macro="" textlink="">
          <xdr:nvSpPr>
            <xdr:cNvPr id="10241" name="Spinner 1" hidden="1">
              <a:extLst>
                <a:ext uri="{63B3BB69-23CF-44E3-9099-C40C66FF867C}">
                  <a14:compatExt spid="_x0000_s10241"/>
                </a:ext>
                <a:ext uri="{FF2B5EF4-FFF2-40B4-BE49-F238E27FC236}">
                  <a16:creationId xmlns:a16="http://schemas.microsoft.com/office/drawing/2014/main" id="{00000000-0008-0000-0300-000001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14</xdr:col>
      <xdr:colOff>254000</xdr:colOff>
      <xdr:row>1</xdr:row>
      <xdr:rowOff>31750</xdr:rowOff>
    </xdr:from>
    <xdr:to>
      <xdr:col>17</xdr:col>
      <xdr:colOff>158750</xdr:colOff>
      <xdr:row>5</xdr:row>
      <xdr:rowOff>179917</xdr:rowOff>
    </xdr:to>
    <xdr:sp macro="" textlink="">
      <xdr:nvSpPr>
        <xdr:cNvPr id="6" name="Arrow: Left 5">
          <a:extLst>
            <a:ext uri="{FF2B5EF4-FFF2-40B4-BE49-F238E27FC236}">
              <a16:creationId xmlns:a16="http://schemas.microsoft.com/office/drawing/2014/main" id="{D1B72D11-2D3D-0F46-074E-EC935BA901CD}"/>
            </a:ext>
          </a:extLst>
        </xdr:cNvPr>
        <xdr:cNvSpPr/>
      </xdr:nvSpPr>
      <xdr:spPr>
        <a:xfrm>
          <a:off x="10223500" y="211667"/>
          <a:ext cx="1746250" cy="10477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t>Pilih Urutan Santri</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9"/>
  <sheetViews>
    <sheetView workbookViewId="0">
      <selection activeCell="B2" sqref="B2"/>
    </sheetView>
  </sheetViews>
  <sheetFormatPr defaultRowHeight="14.5"/>
  <cols>
    <col min="1" max="1" width="9.7265625" customWidth="1"/>
    <col min="2" max="2" width="71.36328125" customWidth="1"/>
    <col min="3" max="3" width="10.36328125" style="28" bestFit="1" customWidth="1"/>
  </cols>
  <sheetData>
    <row r="1" spans="1:3" ht="15" thickBot="1">
      <c r="A1" s="23" t="s">
        <v>57</v>
      </c>
      <c r="B1" s="29" t="s">
        <v>58</v>
      </c>
    </row>
    <row r="2" spans="1:3" ht="71.5" customHeight="1" thickTop="1" thickBot="1">
      <c r="A2" s="35" t="s">
        <v>39</v>
      </c>
      <c r="B2" s="36" t="s">
        <v>61</v>
      </c>
      <c r="C2" s="38">
        <v>1</v>
      </c>
    </row>
    <row r="3" spans="1:3" ht="15" thickTop="1">
      <c r="B3" s="30"/>
    </row>
    <row r="4" spans="1:3" ht="15" thickBot="1">
      <c r="A4" s="32" t="s">
        <v>57</v>
      </c>
      <c r="B4" s="29" t="s">
        <v>59</v>
      </c>
    </row>
    <row r="5" spans="1:3" ht="70" customHeight="1" thickTop="1" thickBot="1">
      <c r="A5" s="33" t="s">
        <v>40</v>
      </c>
      <c r="B5" s="37" t="s">
        <v>41</v>
      </c>
      <c r="C5" s="38">
        <v>2</v>
      </c>
    </row>
    <row r="6" spans="1:3" ht="14.5" customHeight="1" thickTop="1">
      <c r="A6" s="30"/>
      <c r="B6" s="31"/>
    </row>
    <row r="7" spans="1:3" ht="15" thickBot="1">
      <c r="A7" s="23" t="s">
        <v>57</v>
      </c>
      <c r="B7" s="29" t="s">
        <v>59</v>
      </c>
    </row>
    <row r="8" spans="1:3" ht="70" customHeight="1" thickTop="1" thickBot="1">
      <c r="A8" s="34" t="s">
        <v>42</v>
      </c>
      <c r="B8" s="37" t="s">
        <v>43</v>
      </c>
      <c r="C8" s="38">
        <v>3</v>
      </c>
    </row>
    <row r="9" spans="1:3" ht="15" thickTop="1">
      <c r="B9" s="3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DAD29-8FA7-45CE-A9E4-65C89B2D6A00}">
  <dimension ref="A1:B17"/>
  <sheetViews>
    <sheetView showGridLines="0" workbookViewId="0">
      <selection activeCell="F15" sqref="F15"/>
    </sheetView>
  </sheetViews>
  <sheetFormatPr defaultRowHeight="14.5"/>
  <cols>
    <col min="1" max="1" width="9.7265625" style="28" customWidth="1"/>
    <col min="2" max="2" width="17.81640625" customWidth="1"/>
  </cols>
  <sheetData>
    <row r="1" spans="1:2">
      <c r="A1" s="94" t="s">
        <v>68</v>
      </c>
      <c r="B1" s="94"/>
    </row>
    <row r="2" spans="1:2">
      <c r="A2" s="48">
        <v>65</v>
      </c>
      <c r="B2" s="45" t="s">
        <v>67</v>
      </c>
    </row>
    <row r="3" spans="1:2">
      <c r="A3" s="48">
        <v>71</v>
      </c>
      <c r="B3" s="45" t="s">
        <v>66</v>
      </c>
    </row>
    <row r="4" spans="1:2">
      <c r="A4" s="48">
        <v>81</v>
      </c>
      <c r="B4" s="45" t="s">
        <v>65</v>
      </c>
    </row>
    <row r="5" spans="1:2">
      <c r="A5" s="48">
        <v>95</v>
      </c>
      <c r="B5" s="45" t="s">
        <v>64</v>
      </c>
    </row>
    <row r="7" spans="1:2">
      <c r="A7" s="95" t="s">
        <v>69</v>
      </c>
      <c r="B7" s="95"/>
    </row>
    <row r="8" spans="1:2">
      <c r="A8" s="42">
        <v>65</v>
      </c>
      <c r="B8" s="24" t="s">
        <v>67</v>
      </c>
    </row>
    <row r="9" spans="1:2">
      <c r="A9" s="42">
        <v>71</v>
      </c>
      <c r="B9" s="24" t="s">
        <v>66</v>
      </c>
    </row>
    <row r="10" spans="1:2">
      <c r="A10" s="42">
        <v>81</v>
      </c>
      <c r="B10" s="24" t="s">
        <v>65</v>
      </c>
    </row>
    <row r="11" spans="1:2">
      <c r="A11" s="42">
        <v>95</v>
      </c>
      <c r="B11" s="24" t="s">
        <v>64</v>
      </c>
    </row>
    <row r="13" spans="1:2">
      <c r="A13" s="96" t="s">
        <v>70</v>
      </c>
      <c r="B13" s="96"/>
    </row>
    <row r="14" spans="1:2">
      <c r="A14" s="49">
        <v>65</v>
      </c>
      <c r="B14" s="46" t="s">
        <v>67</v>
      </c>
    </row>
    <row r="15" spans="1:2">
      <c r="A15" s="49">
        <v>71</v>
      </c>
      <c r="B15" s="46" t="s">
        <v>66</v>
      </c>
    </row>
    <row r="16" spans="1:2">
      <c r="A16" s="49">
        <v>81</v>
      </c>
      <c r="B16" s="46" t="s">
        <v>65</v>
      </c>
    </row>
    <row r="17" spans="1:2">
      <c r="A17" s="49">
        <v>91</v>
      </c>
      <c r="B17" s="46" t="s">
        <v>64</v>
      </c>
    </row>
  </sheetData>
  <mergeCells count="3">
    <mergeCell ref="A1:B1"/>
    <mergeCell ref="A7:B7"/>
    <mergeCell ref="A13:B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23"/>
  <sheetViews>
    <sheetView view="pageBreakPreview" zoomScale="70" zoomScaleNormal="70" zoomScaleSheetLayoutView="70" workbookViewId="0">
      <pane xSplit="2" ySplit="3" topLeftCell="C4" activePane="bottomRight" state="frozen"/>
      <selection pane="topRight" activeCell="C1" sqref="C1"/>
      <selection pane="bottomLeft" activeCell="A4" sqref="A4"/>
      <selection pane="bottomRight" activeCell="A2" sqref="A2:E3"/>
    </sheetView>
  </sheetViews>
  <sheetFormatPr defaultRowHeight="14.5"/>
  <cols>
    <col min="1" max="1" width="6.81640625" style="26" customWidth="1"/>
    <col min="2" max="2" width="22" style="27" customWidth="1"/>
    <col min="3" max="3" width="11.26953125" style="28" customWidth="1"/>
    <col min="4" max="4" width="8.7265625" style="28"/>
    <col min="5" max="5" width="12.6328125" style="28" customWidth="1"/>
    <col min="6" max="6" width="12.81640625" style="26" customWidth="1"/>
    <col min="7" max="7" width="7.36328125" style="28" customWidth="1"/>
    <col min="8" max="8" width="7.1796875" style="28" customWidth="1"/>
    <col min="9" max="10" width="19.08984375" style="27" customWidth="1"/>
    <col min="11" max="11" width="16.453125" style="27" customWidth="1"/>
    <col min="12" max="12" width="7.36328125" style="28" customWidth="1"/>
    <col min="13" max="13" width="16.453125" style="27" customWidth="1"/>
    <col min="14" max="14" width="8" style="28" customWidth="1"/>
    <col min="15" max="20" width="9" customWidth="1"/>
    <col min="21" max="26" width="9.54296875" customWidth="1"/>
    <col min="27" max="27" width="10.36328125" customWidth="1"/>
    <col min="28" max="30" width="14.26953125" style="28" customWidth="1"/>
  </cols>
  <sheetData>
    <row r="1" spans="1:30" s="44" customFormat="1" ht="11" customHeight="1">
      <c r="A1" s="43">
        <v>1</v>
      </c>
      <c r="B1" s="43">
        <v>2</v>
      </c>
      <c r="C1" s="43">
        <v>3</v>
      </c>
      <c r="D1" s="43">
        <v>4</v>
      </c>
      <c r="E1" s="43">
        <v>5</v>
      </c>
      <c r="F1" s="43">
        <v>6</v>
      </c>
      <c r="G1" s="43">
        <v>7</v>
      </c>
      <c r="H1" s="43">
        <v>8</v>
      </c>
      <c r="I1" s="43">
        <v>9</v>
      </c>
      <c r="J1" s="43">
        <v>10</v>
      </c>
      <c r="K1" s="43">
        <v>11</v>
      </c>
      <c r="L1" s="43">
        <v>12</v>
      </c>
      <c r="M1" s="43">
        <v>13</v>
      </c>
      <c r="N1" s="43">
        <v>14</v>
      </c>
      <c r="O1" s="43">
        <v>15</v>
      </c>
      <c r="P1" s="43">
        <v>16</v>
      </c>
      <c r="Q1" s="43">
        <v>17</v>
      </c>
      <c r="R1" s="43">
        <v>18</v>
      </c>
      <c r="S1" s="43">
        <v>19</v>
      </c>
      <c r="T1" s="43">
        <v>20</v>
      </c>
      <c r="U1" s="43">
        <v>21</v>
      </c>
      <c r="V1" s="43">
        <v>22</v>
      </c>
      <c r="W1" s="43">
        <v>23</v>
      </c>
      <c r="X1" s="43">
        <v>24</v>
      </c>
      <c r="Y1" s="43">
        <v>25</v>
      </c>
      <c r="Z1" s="43">
        <v>26</v>
      </c>
      <c r="AA1" s="43">
        <v>27</v>
      </c>
      <c r="AB1" s="43">
        <v>28</v>
      </c>
      <c r="AC1" s="43">
        <v>29</v>
      </c>
      <c r="AD1" s="43">
        <v>30</v>
      </c>
    </row>
    <row r="2" spans="1:30">
      <c r="A2" s="95" t="s">
        <v>10</v>
      </c>
      <c r="B2" s="95" t="s">
        <v>45</v>
      </c>
      <c r="C2" s="95" t="s">
        <v>46</v>
      </c>
      <c r="D2" s="95" t="s">
        <v>47</v>
      </c>
      <c r="E2" s="95" t="s">
        <v>48</v>
      </c>
      <c r="F2" s="98" t="s">
        <v>50</v>
      </c>
      <c r="G2" s="98"/>
      <c r="H2" s="97" t="s">
        <v>52</v>
      </c>
      <c r="I2" s="97"/>
      <c r="J2" s="97"/>
      <c r="K2" s="94" t="s">
        <v>51</v>
      </c>
      <c r="L2" s="94"/>
      <c r="M2" s="94"/>
      <c r="N2" s="94"/>
      <c r="O2" s="95" t="s">
        <v>54</v>
      </c>
      <c r="P2" s="95"/>
      <c r="Q2" s="95"/>
      <c r="R2" s="95"/>
      <c r="S2" s="95"/>
      <c r="T2" s="95"/>
      <c r="U2" s="94" t="s">
        <v>55</v>
      </c>
      <c r="V2" s="94"/>
      <c r="W2" s="94"/>
      <c r="X2" s="95" t="s">
        <v>80</v>
      </c>
      <c r="Y2" s="95"/>
      <c r="Z2" s="95"/>
      <c r="AA2" s="95"/>
      <c r="AB2" s="47" t="s">
        <v>60</v>
      </c>
      <c r="AC2" s="95" t="s">
        <v>77</v>
      </c>
      <c r="AD2" s="95" t="s">
        <v>81</v>
      </c>
    </row>
    <row r="3" spans="1:30" s="23" customFormat="1" ht="39">
      <c r="A3" s="95"/>
      <c r="B3" s="95"/>
      <c r="C3" s="95"/>
      <c r="D3" s="95"/>
      <c r="E3" s="95"/>
      <c r="F3" s="25" t="s">
        <v>49</v>
      </c>
      <c r="G3" s="25" t="s">
        <v>12</v>
      </c>
      <c r="H3" s="39" t="s">
        <v>17</v>
      </c>
      <c r="I3" s="39" t="s">
        <v>18</v>
      </c>
      <c r="J3" s="39" t="s">
        <v>19</v>
      </c>
      <c r="K3" s="47" t="s">
        <v>71</v>
      </c>
      <c r="L3" s="47" t="s">
        <v>72</v>
      </c>
      <c r="M3" s="47" t="s">
        <v>73</v>
      </c>
      <c r="N3" s="47" t="s">
        <v>74</v>
      </c>
      <c r="O3" s="69" t="s">
        <v>53</v>
      </c>
      <c r="P3" s="69" t="s">
        <v>23</v>
      </c>
      <c r="Q3" s="69" t="s">
        <v>24</v>
      </c>
      <c r="R3" s="69" t="s">
        <v>25</v>
      </c>
      <c r="S3" s="69" t="s">
        <v>26</v>
      </c>
      <c r="T3" s="69" t="s">
        <v>27</v>
      </c>
      <c r="U3" s="70" t="s">
        <v>29</v>
      </c>
      <c r="V3" s="70" t="s">
        <v>30</v>
      </c>
      <c r="W3" s="70" t="s">
        <v>56</v>
      </c>
      <c r="X3" s="71" t="s">
        <v>32</v>
      </c>
      <c r="Y3" s="71" t="s">
        <v>33</v>
      </c>
      <c r="Z3" s="71" t="s">
        <v>34</v>
      </c>
      <c r="AA3" s="71" t="s">
        <v>35</v>
      </c>
      <c r="AB3" s="47" t="s">
        <v>63</v>
      </c>
      <c r="AC3" s="95"/>
      <c r="AD3" s="95"/>
    </row>
    <row r="4" spans="1:30">
      <c r="A4" s="40">
        <v>1</v>
      </c>
      <c r="B4" s="41" t="s">
        <v>98</v>
      </c>
      <c r="C4" s="42" t="s">
        <v>62</v>
      </c>
      <c r="D4" s="42">
        <v>4</v>
      </c>
      <c r="E4" s="42" t="s">
        <v>8</v>
      </c>
      <c r="F4" s="65" t="s">
        <v>14</v>
      </c>
      <c r="G4" s="86" t="s">
        <v>75</v>
      </c>
      <c r="H4" s="85" t="s">
        <v>75</v>
      </c>
      <c r="I4" s="66" t="s">
        <v>75</v>
      </c>
      <c r="J4" s="66" t="s">
        <v>75</v>
      </c>
      <c r="K4" s="67" t="s">
        <v>75</v>
      </c>
      <c r="L4" s="68" t="s">
        <v>75</v>
      </c>
      <c r="M4" s="67" t="s">
        <v>75</v>
      </c>
      <c r="N4" s="68" t="s">
        <v>75</v>
      </c>
      <c r="O4" s="52" t="s">
        <v>75</v>
      </c>
      <c r="P4" s="52" t="s">
        <v>75</v>
      </c>
      <c r="Q4" s="52" t="s">
        <v>75</v>
      </c>
      <c r="R4" s="52" t="s">
        <v>75</v>
      </c>
      <c r="S4" s="52" t="s">
        <v>75</v>
      </c>
      <c r="T4" s="52" t="s">
        <v>75</v>
      </c>
      <c r="U4" s="68" t="s">
        <v>75</v>
      </c>
      <c r="V4" s="68" t="s">
        <v>75</v>
      </c>
      <c r="W4" s="68" t="s">
        <v>75</v>
      </c>
      <c r="X4" s="52" t="s">
        <v>75</v>
      </c>
      <c r="Y4" s="52" t="s">
        <v>75</v>
      </c>
      <c r="Z4" s="52" t="s">
        <v>75</v>
      </c>
      <c r="AA4" s="52" t="s">
        <v>75</v>
      </c>
      <c r="AB4" s="48"/>
      <c r="AC4" s="42" t="s">
        <v>82</v>
      </c>
      <c r="AD4" s="42" t="s">
        <v>82</v>
      </c>
    </row>
    <row r="5" spans="1:30">
      <c r="A5" s="40">
        <v>2</v>
      </c>
      <c r="B5" s="41" t="s">
        <v>99</v>
      </c>
      <c r="C5" s="42" t="s">
        <v>62</v>
      </c>
      <c r="D5" s="42">
        <v>4</v>
      </c>
      <c r="E5" s="42" t="s">
        <v>8</v>
      </c>
      <c r="F5" s="65" t="s">
        <v>14</v>
      </c>
      <c r="G5" s="86" t="s">
        <v>75</v>
      </c>
      <c r="H5" s="85" t="s">
        <v>75</v>
      </c>
      <c r="I5" s="66" t="s">
        <v>75</v>
      </c>
      <c r="J5" s="66" t="s">
        <v>75</v>
      </c>
      <c r="K5" s="67" t="s">
        <v>75</v>
      </c>
      <c r="L5" s="68" t="s">
        <v>75</v>
      </c>
      <c r="M5" s="67" t="s">
        <v>75</v>
      </c>
      <c r="N5" s="68" t="s">
        <v>75</v>
      </c>
      <c r="O5" s="52" t="s">
        <v>75</v>
      </c>
      <c r="P5" s="52" t="s">
        <v>75</v>
      </c>
      <c r="Q5" s="52" t="s">
        <v>75</v>
      </c>
      <c r="R5" s="52" t="s">
        <v>75</v>
      </c>
      <c r="S5" s="52" t="s">
        <v>75</v>
      </c>
      <c r="T5" s="52" t="s">
        <v>75</v>
      </c>
      <c r="U5" s="68" t="s">
        <v>75</v>
      </c>
      <c r="V5" s="68" t="s">
        <v>75</v>
      </c>
      <c r="W5" s="68" t="s">
        <v>75</v>
      </c>
      <c r="X5" s="52" t="s">
        <v>75</v>
      </c>
      <c r="Y5" s="52" t="s">
        <v>75</v>
      </c>
      <c r="Z5" s="52" t="s">
        <v>75</v>
      </c>
      <c r="AA5" s="52" t="s">
        <v>75</v>
      </c>
      <c r="AB5" s="48"/>
      <c r="AC5" s="42" t="s">
        <v>82</v>
      </c>
      <c r="AD5" s="42" t="s">
        <v>82</v>
      </c>
    </row>
    <row r="6" spans="1:30">
      <c r="A6" s="40">
        <v>3</v>
      </c>
      <c r="B6" s="41" t="s">
        <v>100</v>
      </c>
      <c r="C6" s="42" t="s">
        <v>62</v>
      </c>
      <c r="D6" s="42">
        <v>4</v>
      </c>
      <c r="E6" s="42" t="s">
        <v>8</v>
      </c>
      <c r="F6" s="65" t="s">
        <v>14</v>
      </c>
      <c r="G6" s="86" t="s">
        <v>75</v>
      </c>
      <c r="H6" s="85" t="s">
        <v>75</v>
      </c>
      <c r="I6" s="66" t="s">
        <v>75</v>
      </c>
      <c r="J6" s="66" t="s">
        <v>75</v>
      </c>
      <c r="K6" s="67" t="s">
        <v>75</v>
      </c>
      <c r="L6" s="68" t="s">
        <v>75</v>
      </c>
      <c r="M6" s="67" t="s">
        <v>75</v>
      </c>
      <c r="N6" s="68" t="s">
        <v>75</v>
      </c>
      <c r="O6" s="52" t="s">
        <v>75</v>
      </c>
      <c r="P6" s="52" t="s">
        <v>75</v>
      </c>
      <c r="Q6" s="52" t="s">
        <v>75</v>
      </c>
      <c r="R6" s="52" t="s">
        <v>75</v>
      </c>
      <c r="S6" s="52" t="s">
        <v>75</v>
      </c>
      <c r="T6" s="52" t="s">
        <v>75</v>
      </c>
      <c r="U6" s="68" t="s">
        <v>75</v>
      </c>
      <c r="V6" s="68" t="s">
        <v>75</v>
      </c>
      <c r="W6" s="68" t="s">
        <v>75</v>
      </c>
      <c r="X6" s="52" t="s">
        <v>75</v>
      </c>
      <c r="Y6" s="52" t="s">
        <v>75</v>
      </c>
      <c r="Z6" s="52" t="s">
        <v>75</v>
      </c>
      <c r="AA6" s="52" t="s">
        <v>75</v>
      </c>
      <c r="AB6" s="48"/>
      <c r="AC6" s="42" t="s">
        <v>82</v>
      </c>
      <c r="AD6" s="42" t="s">
        <v>82</v>
      </c>
    </row>
    <row r="7" spans="1:30">
      <c r="A7" s="40">
        <v>4</v>
      </c>
      <c r="B7" s="41" t="s">
        <v>101</v>
      </c>
      <c r="C7" s="42" t="s">
        <v>62</v>
      </c>
      <c r="D7" s="42">
        <v>4</v>
      </c>
      <c r="E7" s="42" t="s">
        <v>8</v>
      </c>
      <c r="F7" s="65" t="s">
        <v>14</v>
      </c>
      <c r="G7" s="86" t="s">
        <v>75</v>
      </c>
      <c r="H7" s="85" t="s">
        <v>75</v>
      </c>
      <c r="I7" s="66" t="s">
        <v>75</v>
      </c>
      <c r="J7" s="66" t="s">
        <v>75</v>
      </c>
      <c r="K7" s="67" t="s">
        <v>75</v>
      </c>
      <c r="L7" s="68" t="s">
        <v>75</v>
      </c>
      <c r="M7" s="67" t="s">
        <v>75</v>
      </c>
      <c r="N7" s="68" t="s">
        <v>75</v>
      </c>
      <c r="O7" s="52" t="s">
        <v>75</v>
      </c>
      <c r="P7" s="52" t="s">
        <v>75</v>
      </c>
      <c r="Q7" s="52" t="s">
        <v>75</v>
      </c>
      <c r="R7" s="52" t="s">
        <v>75</v>
      </c>
      <c r="S7" s="52" t="s">
        <v>75</v>
      </c>
      <c r="T7" s="52" t="s">
        <v>75</v>
      </c>
      <c r="U7" s="68" t="s">
        <v>75</v>
      </c>
      <c r="V7" s="68" t="s">
        <v>75</v>
      </c>
      <c r="W7" s="68" t="s">
        <v>75</v>
      </c>
      <c r="X7" s="52" t="s">
        <v>75</v>
      </c>
      <c r="Y7" s="52" t="s">
        <v>75</v>
      </c>
      <c r="Z7" s="52" t="s">
        <v>75</v>
      </c>
      <c r="AA7" s="52" t="s">
        <v>75</v>
      </c>
      <c r="AB7" s="48"/>
      <c r="AC7" s="42" t="s">
        <v>82</v>
      </c>
      <c r="AD7" s="42" t="s">
        <v>82</v>
      </c>
    </row>
    <row r="8" spans="1:30">
      <c r="A8" s="40">
        <v>5</v>
      </c>
      <c r="B8" s="41" t="s">
        <v>102</v>
      </c>
      <c r="C8" s="42" t="s">
        <v>62</v>
      </c>
      <c r="D8" s="42">
        <v>4</v>
      </c>
      <c r="E8" s="42" t="s">
        <v>8</v>
      </c>
      <c r="F8" s="65" t="s">
        <v>14</v>
      </c>
      <c r="G8" s="86" t="s">
        <v>75</v>
      </c>
      <c r="H8" s="85" t="s">
        <v>75</v>
      </c>
      <c r="I8" s="66" t="s">
        <v>75</v>
      </c>
      <c r="J8" s="66" t="s">
        <v>75</v>
      </c>
      <c r="K8" s="67" t="s">
        <v>75</v>
      </c>
      <c r="L8" s="68" t="s">
        <v>75</v>
      </c>
      <c r="M8" s="67" t="s">
        <v>75</v>
      </c>
      <c r="N8" s="68" t="s">
        <v>75</v>
      </c>
      <c r="O8" s="52" t="s">
        <v>75</v>
      </c>
      <c r="P8" s="52" t="s">
        <v>75</v>
      </c>
      <c r="Q8" s="52" t="s">
        <v>75</v>
      </c>
      <c r="R8" s="52" t="s">
        <v>75</v>
      </c>
      <c r="S8" s="52" t="s">
        <v>75</v>
      </c>
      <c r="T8" s="52" t="s">
        <v>75</v>
      </c>
      <c r="U8" s="68" t="s">
        <v>75</v>
      </c>
      <c r="V8" s="68" t="s">
        <v>75</v>
      </c>
      <c r="W8" s="68" t="s">
        <v>75</v>
      </c>
      <c r="X8" s="52" t="s">
        <v>75</v>
      </c>
      <c r="Y8" s="52" t="s">
        <v>75</v>
      </c>
      <c r="Z8" s="52" t="s">
        <v>75</v>
      </c>
      <c r="AA8" s="52" t="s">
        <v>75</v>
      </c>
      <c r="AB8" s="48"/>
      <c r="AC8" s="42" t="s">
        <v>82</v>
      </c>
      <c r="AD8" s="42" t="s">
        <v>82</v>
      </c>
    </row>
    <row r="9" spans="1:30">
      <c r="A9" s="40">
        <v>6</v>
      </c>
      <c r="B9" s="41" t="s">
        <v>103</v>
      </c>
      <c r="C9" s="42" t="s">
        <v>62</v>
      </c>
      <c r="D9" s="42">
        <v>4</v>
      </c>
      <c r="E9" s="42" t="s">
        <v>8</v>
      </c>
      <c r="F9" s="65" t="s">
        <v>14</v>
      </c>
      <c r="G9" s="86" t="s">
        <v>75</v>
      </c>
      <c r="H9" s="85" t="s">
        <v>75</v>
      </c>
      <c r="I9" s="66" t="s">
        <v>75</v>
      </c>
      <c r="J9" s="66" t="s">
        <v>75</v>
      </c>
      <c r="K9" s="67" t="s">
        <v>75</v>
      </c>
      <c r="L9" s="68" t="s">
        <v>75</v>
      </c>
      <c r="M9" s="67" t="s">
        <v>75</v>
      </c>
      <c r="N9" s="68" t="s">
        <v>75</v>
      </c>
      <c r="O9" s="52" t="s">
        <v>75</v>
      </c>
      <c r="P9" s="52" t="s">
        <v>75</v>
      </c>
      <c r="Q9" s="52" t="s">
        <v>75</v>
      </c>
      <c r="R9" s="52" t="s">
        <v>75</v>
      </c>
      <c r="S9" s="52" t="s">
        <v>75</v>
      </c>
      <c r="T9" s="52" t="s">
        <v>75</v>
      </c>
      <c r="U9" s="68" t="s">
        <v>75</v>
      </c>
      <c r="V9" s="68" t="s">
        <v>75</v>
      </c>
      <c r="W9" s="68" t="s">
        <v>75</v>
      </c>
      <c r="X9" s="52" t="s">
        <v>75</v>
      </c>
      <c r="Y9" s="52" t="s">
        <v>75</v>
      </c>
      <c r="Z9" s="52" t="s">
        <v>75</v>
      </c>
      <c r="AA9" s="52" t="s">
        <v>75</v>
      </c>
      <c r="AB9" s="48"/>
      <c r="AC9" s="42" t="s">
        <v>82</v>
      </c>
      <c r="AD9" s="42" t="s">
        <v>82</v>
      </c>
    </row>
    <row r="10" spans="1:30">
      <c r="A10" s="40">
        <v>7</v>
      </c>
      <c r="B10" s="41" t="s">
        <v>104</v>
      </c>
      <c r="C10" s="42" t="s">
        <v>62</v>
      </c>
      <c r="D10" s="42">
        <v>4</v>
      </c>
      <c r="E10" s="42" t="s">
        <v>8</v>
      </c>
      <c r="F10" s="65" t="s">
        <v>14</v>
      </c>
      <c r="G10" s="86" t="s">
        <v>75</v>
      </c>
      <c r="H10" s="85" t="s">
        <v>75</v>
      </c>
      <c r="I10" s="66" t="s">
        <v>75</v>
      </c>
      <c r="J10" s="66" t="s">
        <v>75</v>
      </c>
      <c r="K10" s="67" t="s">
        <v>75</v>
      </c>
      <c r="L10" s="68" t="s">
        <v>75</v>
      </c>
      <c r="M10" s="67" t="s">
        <v>75</v>
      </c>
      <c r="N10" s="68" t="s">
        <v>75</v>
      </c>
      <c r="O10" s="52" t="s">
        <v>75</v>
      </c>
      <c r="P10" s="52" t="s">
        <v>75</v>
      </c>
      <c r="Q10" s="52" t="s">
        <v>75</v>
      </c>
      <c r="R10" s="52" t="s">
        <v>75</v>
      </c>
      <c r="S10" s="52" t="s">
        <v>75</v>
      </c>
      <c r="T10" s="52" t="s">
        <v>75</v>
      </c>
      <c r="U10" s="68" t="s">
        <v>75</v>
      </c>
      <c r="V10" s="68" t="s">
        <v>75</v>
      </c>
      <c r="W10" s="68" t="s">
        <v>75</v>
      </c>
      <c r="X10" s="52" t="s">
        <v>75</v>
      </c>
      <c r="Y10" s="52" t="s">
        <v>75</v>
      </c>
      <c r="Z10" s="52" t="s">
        <v>75</v>
      </c>
      <c r="AA10" s="52" t="s">
        <v>75</v>
      </c>
      <c r="AB10" s="48"/>
      <c r="AC10" s="42" t="s">
        <v>82</v>
      </c>
      <c r="AD10" s="42" t="s">
        <v>82</v>
      </c>
    </row>
    <row r="11" spans="1:30">
      <c r="A11" s="40">
        <v>8</v>
      </c>
      <c r="B11" s="41" t="s">
        <v>105</v>
      </c>
      <c r="C11" s="42" t="s">
        <v>62</v>
      </c>
      <c r="D11" s="42">
        <v>4</v>
      </c>
      <c r="E11" s="42" t="s">
        <v>8</v>
      </c>
      <c r="F11" s="65" t="s">
        <v>14</v>
      </c>
      <c r="G11" s="86" t="s">
        <v>75</v>
      </c>
      <c r="H11" s="85" t="s">
        <v>75</v>
      </c>
      <c r="I11" s="66" t="s">
        <v>75</v>
      </c>
      <c r="J11" s="66" t="s">
        <v>75</v>
      </c>
      <c r="K11" s="67" t="s">
        <v>75</v>
      </c>
      <c r="L11" s="68" t="s">
        <v>75</v>
      </c>
      <c r="M11" s="67" t="s">
        <v>75</v>
      </c>
      <c r="N11" s="68" t="s">
        <v>75</v>
      </c>
      <c r="O11" s="52" t="s">
        <v>75</v>
      </c>
      <c r="P11" s="52" t="s">
        <v>75</v>
      </c>
      <c r="Q11" s="52" t="s">
        <v>75</v>
      </c>
      <c r="R11" s="52" t="s">
        <v>75</v>
      </c>
      <c r="S11" s="52" t="s">
        <v>75</v>
      </c>
      <c r="T11" s="52" t="s">
        <v>75</v>
      </c>
      <c r="U11" s="68" t="s">
        <v>75</v>
      </c>
      <c r="V11" s="68" t="s">
        <v>75</v>
      </c>
      <c r="W11" s="68" t="s">
        <v>75</v>
      </c>
      <c r="X11" s="52" t="s">
        <v>75</v>
      </c>
      <c r="Y11" s="52" t="s">
        <v>75</v>
      </c>
      <c r="Z11" s="52" t="s">
        <v>75</v>
      </c>
      <c r="AA11" s="52" t="s">
        <v>75</v>
      </c>
      <c r="AB11" s="48"/>
      <c r="AC11" s="42" t="s">
        <v>82</v>
      </c>
      <c r="AD11" s="42" t="s">
        <v>82</v>
      </c>
    </row>
    <row r="12" spans="1:30">
      <c r="A12" s="40">
        <v>9</v>
      </c>
      <c r="B12" s="41" t="s">
        <v>106</v>
      </c>
      <c r="C12" s="42" t="s">
        <v>62</v>
      </c>
      <c r="D12" s="42">
        <v>4</v>
      </c>
      <c r="E12" s="42" t="s">
        <v>8</v>
      </c>
      <c r="F12" s="65" t="s">
        <v>14</v>
      </c>
      <c r="G12" s="86" t="s">
        <v>75</v>
      </c>
      <c r="H12" s="85" t="s">
        <v>75</v>
      </c>
      <c r="I12" s="66" t="s">
        <v>75</v>
      </c>
      <c r="J12" s="66" t="s">
        <v>75</v>
      </c>
      <c r="K12" s="67" t="s">
        <v>75</v>
      </c>
      <c r="L12" s="68" t="s">
        <v>75</v>
      </c>
      <c r="M12" s="67" t="s">
        <v>75</v>
      </c>
      <c r="N12" s="68" t="s">
        <v>75</v>
      </c>
      <c r="O12" s="52" t="s">
        <v>75</v>
      </c>
      <c r="P12" s="52" t="s">
        <v>75</v>
      </c>
      <c r="Q12" s="52" t="s">
        <v>75</v>
      </c>
      <c r="R12" s="52" t="s">
        <v>75</v>
      </c>
      <c r="S12" s="52" t="s">
        <v>75</v>
      </c>
      <c r="T12" s="52" t="s">
        <v>75</v>
      </c>
      <c r="U12" s="68" t="s">
        <v>75</v>
      </c>
      <c r="V12" s="68" t="s">
        <v>75</v>
      </c>
      <c r="W12" s="68" t="s">
        <v>75</v>
      </c>
      <c r="X12" s="52" t="s">
        <v>75</v>
      </c>
      <c r="Y12" s="52" t="s">
        <v>75</v>
      </c>
      <c r="Z12" s="52" t="s">
        <v>75</v>
      </c>
      <c r="AA12" s="52" t="s">
        <v>75</v>
      </c>
      <c r="AB12" s="48"/>
      <c r="AC12" s="42" t="s">
        <v>82</v>
      </c>
      <c r="AD12" s="42" t="s">
        <v>82</v>
      </c>
    </row>
    <row r="13" spans="1:30">
      <c r="A13" s="40">
        <v>10</v>
      </c>
      <c r="B13" s="41" t="s">
        <v>107</v>
      </c>
      <c r="C13" s="42" t="s">
        <v>62</v>
      </c>
      <c r="D13" s="42">
        <v>4</v>
      </c>
      <c r="E13" s="42" t="s">
        <v>8</v>
      </c>
      <c r="F13" s="65" t="s">
        <v>14</v>
      </c>
      <c r="G13" s="86" t="s">
        <v>75</v>
      </c>
      <c r="H13" s="85" t="s">
        <v>75</v>
      </c>
      <c r="I13" s="66" t="s">
        <v>75</v>
      </c>
      <c r="J13" s="66" t="s">
        <v>75</v>
      </c>
      <c r="K13" s="67" t="s">
        <v>75</v>
      </c>
      <c r="L13" s="68" t="s">
        <v>75</v>
      </c>
      <c r="M13" s="67" t="s">
        <v>75</v>
      </c>
      <c r="N13" s="68" t="s">
        <v>75</v>
      </c>
      <c r="O13" s="52" t="s">
        <v>75</v>
      </c>
      <c r="P13" s="52" t="s">
        <v>75</v>
      </c>
      <c r="Q13" s="52" t="s">
        <v>75</v>
      </c>
      <c r="R13" s="52" t="s">
        <v>75</v>
      </c>
      <c r="S13" s="52" t="s">
        <v>75</v>
      </c>
      <c r="T13" s="52" t="s">
        <v>75</v>
      </c>
      <c r="U13" s="68" t="s">
        <v>75</v>
      </c>
      <c r="V13" s="68" t="s">
        <v>75</v>
      </c>
      <c r="W13" s="68" t="s">
        <v>75</v>
      </c>
      <c r="X13" s="52" t="s">
        <v>75</v>
      </c>
      <c r="Y13" s="52" t="s">
        <v>75</v>
      </c>
      <c r="Z13" s="52" t="s">
        <v>75</v>
      </c>
      <c r="AA13" s="52" t="s">
        <v>75</v>
      </c>
      <c r="AB13" s="48"/>
      <c r="AC13" s="42" t="s">
        <v>82</v>
      </c>
      <c r="AD13" s="42" t="s">
        <v>82</v>
      </c>
    </row>
    <row r="14" spans="1:30">
      <c r="A14" s="40">
        <v>11</v>
      </c>
      <c r="B14" s="41" t="s">
        <v>108</v>
      </c>
      <c r="C14" s="42" t="s">
        <v>62</v>
      </c>
      <c r="D14" s="42">
        <v>4</v>
      </c>
      <c r="E14" s="42" t="s">
        <v>8</v>
      </c>
      <c r="F14" s="65" t="s">
        <v>14</v>
      </c>
      <c r="G14" s="86" t="s">
        <v>75</v>
      </c>
      <c r="H14" s="85" t="s">
        <v>75</v>
      </c>
      <c r="I14" s="66" t="s">
        <v>75</v>
      </c>
      <c r="J14" s="66" t="s">
        <v>75</v>
      </c>
      <c r="K14" s="67" t="s">
        <v>75</v>
      </c>
      <c r="L14" s="68" t="s">
        <v>75</v>
      </c>
      <c r="M14" s="67" t="s">
        <v>75</v>
      </c>
      <c r="N14" s="68" t="s">
        <v>75</v>
      </c>
      <c r="O14" s="52" t="s">
        <v>75</v>
      </c>
      <c r="P14" s="52" t="s">
        <v>75</v>
      </c>
      <c r="Q14" s="52" t="s">
        <v>75</v>
      </c>
      <c r="R14" s="52" t="s">
        <v>75</v>
      </c>
      <c r="S14" s="52" t="s">
        <v>75</v>
      </c>
      <c r="T14" s="52" t="s">
        <v>75</v>
      </c>
      <c r="U14" s="68" t="s">
        <v>75</v>
      </c>
      <c r="V14" s="68" t="s">
        <v>75</v>
      </c>
      <c r="W14" s="68" t="s">
        <v>75</v>
      </c>
      <c r="X14" s="52" t="s">
        <v>75</v>
      </c>
      <c r="Y14" s="52" t="s">
        <v>75</v>
      </c>
      <c r="Z14" s="52" t="s">
        <v>75</v>
      </c>
      <c r="AA14" s="52" t="s">
        <v>75</v>
      </c>
      <c r="AB14" s="48"/>
      <c r="AC14" s="42" t="s">
        <v>82</v>
      </c>
      <c r="AD14" s="42" t="s">
        <v>82</v>
      </c>
    </row>
    <row r="15" spans="1:30">
      <c r="A15" s="40">
        <v>12</v>
      </c>
      <c r="B15" s="41" t="s">
        <v>109</v>
      </c>
      <c r="C15" s="42" t="s">
        <v>62</v>
      </c>
      <c r="D15" s="42">
        <v>4</v>
      </c>
      <c r="E15" s="42" t="s">
        <v>8</v>
      </c>
      <c r="F15" s="65" t="s">
        <v>14</v>
      </c>
      <c r="G15" s="86" t="s">
        <v>75</v>
      </c>
      <c r="H15" s="85" t="s">
        <v>75</v>
      </c>
      <c r="I15" s="66" t="s">
        <v>75</v>
      </c>
      <c r="J15" s="66" t="s">
        <v>75</v>
      </c>
      <c r="K15" s="67" t="s">
        <v>75</v>
      </c>
      <c r="L15" s="68" t="s">
        <v>75</v>
      </c>
      <c r="M15" s="67" t="s">
        <v>75</v>
      </c>
      <c r="N15" s="68" t="s">
        <v>75</v>
      </c>
      <c r="O15" s="52" t="s">
        <v>75</v>
      </c>
      <c r="P15" s="52" t="s">
        <v>75</v>
      </c>
      <c r="Q15" s="52" t="s">
        <v>75</v>
      </c>
      <c r="R15" s="52" t="s">
        <v>75</v>
      </c>
      <c r="S15" s="52" t="s">
        <v>75</v>
      </c>
      <c r="T15" s="52" t="s">
        <v>75</v>
      </c>
      <c r="U15" s="68" t="s">
        <v>75</v>
      </c>
      <c r="V15" s="68" t="s">
        <v>75</v>
      </c>
      <c r="W15" s="68" t="s">
        <v>75</v>
      </c>
      <c r="X15" s="52" t="s">
        <v>75</v>
      </c>
      <c r="Y15" s="52" t="s">
        <v>75</v>
      </c>
      <c r="Z15" s="52" t="s">
        <v>75</v>
      </c>
      <c r="AA15" s="52" t="s">
        <v>75</v>
      </c>
      <c r="AB15" s="48"/>
      <c r="AC15" s="42" t="s">
        <v>82</v>
      </c>
      <c r="AD15" s="42" t="s">
        <v>82</v>
      </c>
    </row>
    <row r="16" spans="1:30">
      <c r="A16" s="40">
        <v>13</v>
      </c>
      <c r="B16" s="41" t="s">
        <v>110</v>
      </c>
      <c r="C16" s="42" t="s">
        <v>62</v>
      </c>
      <c r="D16" s="42">
        <v>4</v>
      </c>
      <c r="E16" s="42" t="s">
        <v>8</v>
      </c>
      <c r="F16" s="65" t="s">
        <v>14</v>
      </c>
      <c r="G16" s="86" t="s">
        <v>75</v>
      </c>
      <c r="H16" s="85" t="s">
        <v>75</v>
      </c>
      <c r="I16" s="66" t="s">
        <v>75</v>
      </c>
      <c r="J16" s="66" t="s">
        <v>75</v>
      </c>
      <c r="K16" s="67" t="s">
        <v>75</v>
      </c>
      <c r="L16" s="68" t="s">
        <v>75</v>
      </c>
      <c r="M16" s="67" t="s">
        <v>75</v>
      </c>
      <c r="N16" s="68" t="s">
        <v>75</v>
      </c>
      <c r="O16" s="52" t="s">
        <v>75</v>
      </c>
      <c r="P16" s="52" t="s">
        <v>75</v>
      </c>
      <c r="Q16" s="52" t="s">
        <v>75</v>
      </c>
      <c r="R16" s="52" t="s">
        <v>75</v>
      </c>
      <c r="S16" s="52" t="s">
        <v>75</v>
      </c>
      <c r="T16" s="52" t="s">
        <v>75</v>
      </c>
      <c r="U16" s="68" t="s">
        <v>75</v>
      </c>
      <c r="V16" s="68" t="s">
        <v>75</v>
      </c>
      <c r="W16" s="68" t="s">
        <v>75</v>
      </c>
      <c r="X16" s="52" t="s">
        <v>75</v>
      </c>
      <c r="Y16" s="52" t="s">
        <v>75</v>
      </c>
      <c r="Z16" s="52" t="s">
        <v>75</v>
      </c>
      <c r="AA16" s="52" t="s">
        <v>75</v>
      </c>
      <c r="AB16" s="48"/>
      <c r="AC16" s="42" t="s">
        <v>82</v>
      </c>
      <c r="AD16" s="42" t="s">
        <v>82</v>
      </c>
    </row>
    <row r="17" spans="1:30">
      <c r="A17" s="40">
        <v>14</v>
      </c>
      <c r="B17" s="41" t="s">
        <v>111</v>
      </c>
      <c r="C17" s="42" t="s">
        <v>62</v>
      </c>
      <c r="D17" s="42">
        <v>4</v>
      </c>
      <c r="E17" s="42" t="s">
        <v>8</v>
      </c>
      <c r="F17" s="65" t="s">
        <v>14</v>
      </c>
      <c r="G17" s="86" t="s">
        <v>75</v>
      </c>
      <c r="H17" s="85" t="s">
        <v>75</v>
      </c>
      <c r="I17" s="66" t="s">
        <v>75</v>
      </c>
      <c r="J17" s="66" t="s">
        <v>75</v>
      </c>
      <c r="K17" s="67" t="s">
        <v>75</v>
      </c>
      <c r="L17" s="68" t="s">
        <v>75</v>
      </c>
      <c r="M17" s="67" t="s">
        <v>75</v>
      </c>
      <c r="N17" s="68" t="s">
        <v>75</v>
      </c>
      <c r="O17" s="52" t="s">
        <v>75</v>
      </c>
      <c r="P17" s="52" t="s">
        <v>75</v>
      </c>
      <c r="Q17" s="52" t="s">
        <v>75</v>
      </c>
      <c r="R17" s="52" t="s">
        <v>75</v>
      </c>
      <c r="S17" s="52" t="s">
        <v>75</v>
      </c>
      <c r="T17" s="52" t="s">
        <v>75</v>
      </c>
      <c r="U17" s="68" t="s">
        <v>75</v>
      </c>
      <c r="V17" s="68" t="s">
        <v>75</v>
      </c>
      <c r="W17" s="68" t="s">
        <v>75</v>
      </c>
      <c r="X17" s="52" t="s">
        <v>75</v>
      </c>
      <c r="Y17" s="52" t="s">
        <v>75</v>
      </c>
      <c r="Z17" s="52" t="s">
        <v>75</v>
      </c>
      <c r="AA17" s="52" t="s">
        <v>75</v>
      </c>
      <c r="AB17" s="48"/>
      <c r="AC17" s="42" t="s">
        <v>82</v>
      </c>
      <c r="AD17" s="42" t="s">
        <v>82</v>
      </c>
    </row>
    <row r="18" spans="1:30">
      <c r="A18" s="40">
        <v>15</v>
      </c>
      <c r="B18" s="41" t="s">
        <v>112</v>
      </c>
      <c r="C18" s="42" t="s">
        <v>62</v>
      </c>
      <c r="D18" s="42">
        <v>4</v>
      </c>
      <c r="E18" s="42" t="s">
        <v>8</v>
      </c>
      <c r="F18" s="65" t="s">
        <v>14</v>
      </c>
      <c r="G18" s="86" t="s">
        <v>75</v>
      </c>
      <c r="H18" s="85" t="s">
        <v>75</v>
      </c>
      <c r="I18" s="66" t="s">
        <v>75</v>
      </c>
      <c r="J18" s="66" t="s">
        <v>75</v>
      </c>
      <c r="K18" s="67" t="s">
        <v>75</v>
      </c>
      <c r="L18" s="68" t="s">
        <v>75</v>
      </c>
      <c r="M18" s="67" t="s">
        <v>75</v>
      </c>
      <c r="N18" s="68" t="s">
        <v>75</v>
      </c>
      <c r="O18" s="52" t="s">
        <v>75</v>
      </c>
      <c r="P18" s="52" t="s">
        <v>75</v>
      </c>
      <c r="Q18" s="52" t="s">
        <v>75</v>
      </c>
      <c r="R18" s="52" t="s">
        <v>75</v>
      </c>
      <c r="S18" s="52" t="s">
        <v>75</v>
      </c>
      <c r="T18" s="52" t="s">
        <v>75</v>
      </c>
      <c r="U18" s="68" t="s">
        <v>75</v>
      </c>
      <c r="V18" s="68" t="s">
        <v>75</v>
      </c>
      <c r="W18" s="68" t="s">
        <v>75</v>
      </c>
      <c r="X18" s="52" t="s">
        <v>75</v>
      </c>
      <c r="Y18" s="52" t="s">
        <v>75</v>
      </c>
      <c r="Z18" s="52" t="s">
        <v>75</v>
      </c>
      <c r="AA18" s="52" t="s">
        <v>75</v>
      </c>
      <c r="AB18" s="48"/>
      <c r="AC18" s="42" t="s">
        <v>82</v>
      </c>
      <c r="AD18" s="42" t="s">
        <v>82</v>
      </c>
    </row>
    <row r="19" spans="1:30">
      <c r="A19" s="40">
        <v>16</v>
      </c>
      <c r="B19" s="41" t="s">
        <v>113</v>
      </c>
      <c r="C19" s="42" t="s">
        <v>62</v>
      </c>
      <c r="D19" s="42">
        <v>4</v>
      </c>
      <c r="E19" s="42" t="s">
        <v>8</v>
      </c>
      <c r="F19" s="65" t="s">
        <v>14</v>
      </c>
      <c r="G19" s="86" t="s">
        <v>75</v>
      </c>
      <c r="H19" s="85" t="s">
        <v>75</v>
      </c>
      <c r="I19" s="66" t="s">
        <v>75</v>
      </c>
      <c r="J19" s="66" t="s">
        <v>75</v>
      </c>
      <c r="K19" s="67" t="s">
        <v>75</v>
      </c>
      <c r="L19" s="68" t="s">
        <v>75</v>
      </c>
      <c r="M19" s="67" t="s">
        <v>75</v>
      </c>
      <c r="N19" s="68" t="s">
        <v>75</v>
      </c>
      <c r="O19" s="52" t="s">
        <v>75</v>
      </c>
      <c r="P19" s="52" t="s">
        <v>75</v>
      </c>
      <c r="Q19" s="52" t="s">
        <v>75</v>
      </c>
      <c r="R19" s="52" t="s">
        <v>75</v>
      </c>
      <c r="S19" s="52" t="s">
        <v>75</v>
      </c>
      <c r="T19" s="52" t="s">
        <v>75</v>
      </c>
      <c r="U19" s="68" t="s">
        <v>75</v>
      </c>
      <c r="V19" s="68" t="s">
        <v>75</v>
      </c>
      <c r="W19" s="68" t="s">
        <v>75</v>
      </c>
      <c r="X19" s="52" t="s">
        <v>75</v>
      </c>
      <c r="Y19" s="52" t="s">
        <v>75</v>
      </c>
      <c r="Z19" s="52" t="s">
        <v>75</v>
      </c>
      <c r="AA19" s="52" t="s">
        <v>75</v>
      </c>
      <c r="AB19" s="48"/>
      <c r="AC19" s="42" t="s">
        <v>82</v>
      </c>
      <c r="AD19" s="42" t="s">
        <v>82</v>
      </c>
    </row>
    <row r="20" spans="1:30">
      <c r="A20" s="40">
        <v>17</v>
      </c>
      <c r="B20" s="41" t="s">
        <v>114</v>
      </c>
      <c r="C20" s="42" t="s">
        <v>62</v>
      </c>
      <c r="D20" s="42">
        <v>4</v>
      </c>
      <c r="E20" s="42" t="s">
        <v>8</v>
      </c>
      <c r="F20" s="65" t="s">
        <v>14</v>
      </c>
      <c r="G20" s="86" t="s">
        <v>75</v>
      </c>
      <c r="H20" s="85" t="s">
        <v>75</v>
      </c>
      <c r="I20" s="66" t="s">
        <v>75</v>
      </c>
      <c r="J20" s="66" t="s">
        <v>75</v>
      </c>
      <c r="K20" s="67" t="s">
        <v>75</v>
      </c>
      <c r="L20" s="68" t="s">
        <v>75</v>
      </c>
      <c r="M20" s="67" t="s">
        <v>75</v>
      </c>
      <c r="N20" s="68" t="s">
        <v>75</v>
      </c>
      <c r="O20" s="52" t="s">
        <v>75</v>
      </c>
      <c r="P20" s="52" t="s">
        <v>75</v>
      </c>
      <c r="Q20" s="52" t="s">
        <v>75</v>
      </c>
      <c r="R20" s="52" t="s">
        <v>75</v>
      </c>
      <c r="S20" s="52" t="s">
        <v>75</v>
      </c>
      <c r="T20" s="52" t="s">
        <v>75</v>
      </c>
      <c r="U20" s="68" t="s">
        <v>75</v>
      </c>
      <c r="V20" s="68" t="s">
        <v>75</v>
      </c>
      <c r="W20" s="68" t="s">
        <v>75</v>
      </c>
      <c r="X20" s="52" t="s">
        <v>75</v>
      </c>
      <c r="Y20" s="52" t="s">
        <v>75</v>
      </c>
      <c r="Z20" s="52" t="s">
        <v>75</v>
      </c>
      <c r="AA20" s="52" t="s">
        <v>75</v>
      </c>
      <c r="AB20" s="48"/>
      <c r="AC20" s="42" t="s">
        <v>82</v>
      </c>
      <c r="AD20" s="42" t="s">
        <v>82</v>
      </c>
    </row>
    <row r="21" spans="1:30">
      <c r="A21" s="40">
        <v>18</v>
      </c>
      <c r="B21" s="41" t="s">
        <v>115</v>
      </c>
      <c r="C21" s="42" t="s">
        <v>62</v>
      </c>
      <c r="D21" s="42">
        <v>4</v>
      </c>
      <c r="E21" s="42" t="s">
        <v>8</v>
      </c>
      <c r="F21" s="65" t="s">
        <v>14</v>
      </c>
      <c r="G21" s="86" t="s">
        <v>75</v>
      </c>
      <c r="H21" s="85" t="s">
        <v>75</v>
      </c>
      <c r="I21" s="66" t="s">
        <v>75</v>
      </c>
      <c r="J21" s="66" t="s">
        <v>75</v>
      </c>
      <c r="K21" s="67" t="s">
        <v>75</v>
      </c>
      <c r="L21" s="68" t="s">
        <v>75</v>
      </c>
      <c r="M21" s="67" t="s">
        <v>75</v>
      </c>
      <c r="N21" s="68" t="s">
        <v>75</v>
      </c>
      <c r="O21" s="52" t="s">
        <v>75</v>
      </c>
      <c r="P21" s="52" t="s">
        <v>75</v>
      </c>
      <c r="Q21" s="52" t="s">
        <v>75</v>
      </c>
      <c r="R21" s="52" t="s">
        <v>75</v>
      </c>
      <c r="S21" s="52" t="s">
        <v>75</v>
      </c>
      <c r="T21" s="52" t="s">
        <v>75</v>
      </c>
      <c r="U21" s="68" t="s">
        <v>75</v>
      </c>
      <c r="V21" s="68" t="s">
        <v>75</v>
      </c>
      <c r="W21" s="68" t="s">
        <v>75</v>
      </c>
      <c r="X21" s="52" t="s">
        <v>75</v>
      </c>
      <c r="Y21" s="52" t="s">
        <v>75</v>
      </c>
      <c r="Z21" s="52" t="s">
        <v>75</v>
      </c>
      <c r="AA21" s="52" t="s">
        <v>75</v>
      </c>
      <c r="AB21" s="48"/>
      <c r="AC21" s="42" t="s">
        <v>82</v>
      </c>
      <c r="AD21" s="42" t="s">
        <v>82</v>
      </c>
    </row>
    <row r="22" spans="1:30">
      <c r="A22" s="40">
        <v>19</v>
      </c>
      <c r="B22" s="41" t="s">
        <v>116</v>
      </c>
      <c r="C22" s="42" t="s">
        <v>62</v>
      </c>
      <c r="D22" s="42">
        <v>4</v>
      </c>
      <c r="E22" s="42" t="s">
        <v>8</v>
      </c>
      <c r="F22" s="65" t="s">
        <v>14</v>
      </c>
      <c r="G22" s="86" t="s">
        <v>75</v>
      </c>
      <c r="H22" s="85" t="s">
        <v>75</v>
      </c>
      <c r="I22" s="66" t="s">
        <v>75</v>
      </c>
      <c r="J22" s="66" t="s">
        <v>75</v>
      </c>
      <c r="K22" s="67" t="s">
        <v>75</v>
      </c>
      <c r="L22" s="68" t="s">
        <v>75</v>
      </c>
      <c r="M22" s="67" t="s">
        <v>75</v>
      </c>
      <c r="N22" s="68" t="s">
        <v>75</v>
      </c>
      <c r="O22" s="52" t="s">
        <v>75</v>
      </c>
      <c r="P22" s="52" t="s">
        <v>75</v>
      </c>
      <c r="Q22" s="52" t="s">
        <v>75</v>
      </c>
      <c r="R22" s="52" t="s">
        <v>75</v>
      </c>
      <c r="S22" s="52" t="s">
        <v>75</v>
      </c>
      <c r="T22" s="52" t="s">
        <v>75</v>
      </c>
      <c r="U22" s="68" t="s">
        <v>75</v>
      </c>
      <c r="V22" s="68" t="s">
        <v>75</v>
      </c>
      <c r="W22" s="68" t="s">
        <v>75</v>
      </c>
      <c r="X22" s="52" t="s">
        <v>75</v>
      </c>
      <c r="Y22" s="52" t="s">
        <v>75</v>
      </c>
      <c r="Z22" s="52" t="s">
        <v>75</v>
      </c>
      <c r="AA22" s="52" t="s">
        <v>75</v>
      </c>
      <c r="AB22" s="48"/>
      <c r="AC22" s="42" t="s">
        <v>82</v>
      </c>
      <c r="AD22" s="42" t="s">
        <v>82</v>
      </c>
    </row>
    <row r="23" spans="1:30">
      <c r="A23" s="40">
        <v>20</v>
      </c>
      <c r="B23" s="41" t="s">
        <v>117</v>
      </c>
      <c r="C23" s="42" t="s">
        <v>62</v>
      </c>
      <c r="D23" s="42">
        <v>4</v>
      </c>
      <c r="E23" s="42" t="s">
        <v>8</v>
      </c>
      <c r="F23" s="65" t="s">
        <v>14</v>
      </c>
      <c r="G23" s="86" t="s">
        <v>75</v>
      </c>
      <c r="H23" s="85" t="s">
        <v>75</v>
      </c>
      <c r="I23" s="66" t="s">
        <v>75</v>
      </c>
      <c r="J23" s="66" t="s">
        <v>75</v>
      </c>
      <c r="K23" s="67" t="s">
        <v>75</v>
      </c>
      <c r="L23" s="68" t="s">
        <v>75</v>
      </c>
      <c r="M23" s="67" t="s">
        <v>75</v>
      </c>
      <c r="N23" s="68" t="s">
        <v>75</v>
      </c>
      <c r="O23" s="52" t="s">
        <v>75</v>
      </c>
      <c r="P23" s="52" t="s">
        <v>75</v>
      </c>
      <c r="Q23" s="52" t="s">
        <v>75</v>
      </c>
      <c r="R23" s="52" t="s">
        <v>75</v>
      </c>
      <c r="S23" s="52" t="s">
        <v>75</v>
      </c>
      <c r="T23" s="52" t="s">
        <v>75</v>
      </c>
      <c r="U23" s="68" t="s">
        <v>75</v>
      </c>
      <c r="V23" s="68" t="s">
        <v>75</v>
      </c>
      <c r="W23" s="68" t="s">
        <v>75</v>
      </c>
      <c r="X23" s="52" t="s">
        <v>75</v>
      </c>
      <c r="Y23" s="52" t="s">
        <v>75</v>
      </c>
      <c r="Z23" s="52" t="s">
        <v>75</v>
      </c>
      <c r="AA23" s="52" t="s">
        <v>75</v>
      </c>
      <c r="AB23" s="48"/>
      <c r="AC23" s="42" t="s">
        <v>82</v>
      </c>
      <c r="AD23" s="42" t="s">
        <v>82</v>
      </c>
    </row>
  </sheetData>
  <mergeCells count="13">
    <mergeCell ref="X2:AA2"/>
    <mergeCell ref="AC2:AC3"/>
    <mergeCell ref="AD2:AD3"/>
    <mergeCell ref="O2:T2"/>
    <mergeCell ref="U2:W2"/>
    <mergeCell ref="H2:J2"/>
    <mergeCell ref="K2:N2"/>
    <mergeCell ref="F2:G2"/>
    <mergeCell ref="A2:A3"/>
    <mergeCell ref="B2:B3"/>
    <mergeCell ref="C2:C3"/>
    <mergeCell ref="D2:D3"/>
    <mergeCell ref="E2:E3"/>
  </mergeCells>
  <phoneticPr fontId="25" type="noConversion"/>
  <dataValidations count="3">
    <dataValidation type="list" allowBlank="1" showInputMessage="1" showErrorMessage="1" sqref="E4:E23" xr:uid="{D0C188A8-0E50-401E-9219-A6A871418961}">
      <formula1>"I (Gasal),II (Genap)"</formula1>
    </dataValidation>
    <dataValidation type="list" allowBlank="1" showInputMessage="1" showErrorMessage="1" sqref="AB4:AB23" xr:uid="{96A8C399-C0AB-4E56-9ACB-232B91578AE3}">
      <formula1>"Tidak Tercapai,Tercapai,Melampaui"</formula1>
    </dataValidation>
    <dataValidation type="list" allowBlank="1" showInputMessage="1" showErrorMessage="1" sqref="X4:AA23" xr:uid="{B9DCB715-304C-4E5F-B57E-A570D4621EAD}">
      <formula1>"A+,A,B+,B,C+,C"</formula1>
    </dataValidation>
  </dataValidations>
  <pageMargins left="0.7" right="0.7" top="0.75" bottom="0.75" header="0.3" footer="0.3"/>
  <pageSetup paperSize="5"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showGridLines="0" tabSelected="1" topLeftCell="A37" zoomScale="85" zoomScaleNormal="85" zoomScalePageLayoutView="40" workbookViewId="0">
      <selection activeCell="I22" sqref="I22"/>
    </sheetView>
  </sheetViews>
  <sheetFormatPr defaultRowHeight="14.5"/>
  <cols>
    <col min="1" max="1" width="5.81640625" customWidth="1"/>
    <col min="2" max="2" width="6.26953125" customWidth="1"/>
    <col min="3" max="3" width="1.54296875" customWidth="1"/>
    <col min="4" max="4" width="15.453125" customWidth="1"/>
    <col min="5" max="5" width="27.1796875" customWidth="1"/>
    <col min="6" max="6" width="9.54296875" customWidth="1"/>
    <col min="7" max="7" width="1.7265625" customWidth="1"/>
    <col min="8" max="8" width="22.7265625" customWidth="1"/>
    <col min="11" max="14" width="8.7265625" style="74"/>
  </cols>
  <sheetData>
    <row r="1" spans="1:14" ht="15" thickBot="1"/>
    <row r="2" spans="1:14" ht="18.5">
      <c r="A2" s="104" t="s">
        <v>0</v>
      </c>
      <c r="B2" s="105"/>
      <c r="C2" s="105"/>
      <c r="D2" s="105"/>
      <c r="E2" s="105"/>
      <c r="F2" s="105"/>
      <c r="G2" s="105"/>
      <c r="H2" s="105"/>
      <c r="L2" s="138" t="str">
        <f>VLOOKUP($L$4,'Input Data'!A4:$AI$23,2,FALSE)</f>
        <v>FULAN 1</v>
      </c>
      <c r="M2" s="139"/>
      <c r="N2" s="140"/>
    </row>
    <row r="3" spans="1:14" ht="18.5">
      <c r="A3" s="104" t="s">
        <v>1</v>
      </c>
      <c r="B3" s="105"/>
      <c r="C3" s="105"/>
      <c r="D3" s="105"/>
      <c r="E3" s="105"/>
      <c r="F3" s="105"/>
      <c r="G3" s="105"/>
      <c r="H3" s="105"/>
      <c r="L3" s="93" t="s">
        <v>44</v>
      </c>
      <c r="N3" s="90"/>
    </row>
    <row r="4" spans="1:14" ht="19" thickBot="1">
      <c r="A4" s="104" t="s">
        <v>2</v>
      </c>
      <c r="B4" s="105"/>
      <c r="C4" s="105"/>
      <c r="D4" s="105"/>
      <c r="E4" s="105"/>
      <c r="F4" s="105"/>
      <c r="G4" s="105"/>
      <c r="H4" s="105"/>
      <c r="L4" s="99">
        <v>1</v>
      </c>
      <c r="N4" s="90"/>
    </row>
    <row r="5" spans="1:14" ht="15.5" thickTop="1" thickBot="1">
      <c r="A5" s="106" t="s">
        <v>3</v>
      </c>
      <c r="B5" s="107"/>
      <c r="C5" s="1" t="s">
        <v>5</v>
      </c>
      <c r="D5" s="73" t="str">
        <f>VLOOKUP($L$4,'Input Data'!A4:$AI$23,2,FALSE)</f>
        <v>FULAN 1</v>
      </c>
      <c r="E5" s="73"/>
      <c r="F5" s="2" t="s">
        <v>4</v>
      </c>
      <c r="G5" s="3" t="s">
        <v>5</v>
      </c>
      <c r="H5" s="50">
        <f>VLOOKUP($L$4,'Input Data'!A4:$AI$23,4,FALSE)</f>
        <v>4</v>
      </c>
      <c r="L5" s="100"/>
      <c r="M5" s="91"/>
      <c r="N5" s="92"/>
    </row>
    <row r="6" spans="1:14" ht="15" thickBot="1">
      <c r="A6" s="101" t="s">
        <v>6</v>
      </c>
      <c r="B6" s="102"/>
      <c r="C6" s="4" t="s">
        <v>5</v>
      </c>
      <c r="D6" s="103" t="str">
        <f>VLOOKUP($L$4,'Input Data'!A4:$AI$23,3,FALSE)</f>
        <v>VII</v>
      </c>
      <c r="E6" s="103"/>
      <c r="F6" s="5" t="s">
        <v>7</v>
      </c>
      <c r="G6" s="22" t="s">
        <v>5</v>
      </c>
      <c r="H6" s="51" t="str">
        <f>VLOOKUP($L$4,'Input Data'!A4:$AI$23,5,FALSE)</f>
        <v>I (Gasal)</v>
      </c>
    </row>
    <row r="7" spans="1:14" ht="15" thickTop="1">
      <c r="B7" s="6"/>
      <c r="C7" s="6"/>
      <c r="D7" s="6"/>
      <c r="E7" s="6"/>
      <c r="F7" s="6"/>
      <c r="G7" s="6"/>
      <c r="H7" s="6"/>
    </row>
    <row r="8" spans="1:14" ht="15" thickBot="1">
      <c r="A8" s="7" t="s">
        <v>9</v>
      </c>
    </row>
    <row r="9" spans="1:14" ht="15" thickTop="1">
      <c r="A9" s="56" t="s">
        <v>10</v>
      </c>
      <c r="B9" s="108" t="s">
        <v>11</v>
      </c>
      <c r="C9" s="109"/>
      <c r="D9" s="110"/>
      <c r="E9" s="57" t="s">
        <v>12</v>
      </c>
      <c r="F9" s="108" t="s">
        <v>13</v>
      </c>
      <c r="G9" s="109"/>
      <c r="H9" s="111"/>
    </row>
    <row r="10" spans="1:14" ht="15" thickBot="1">
      <c r="A10" s="58">
        <v>1</v>
      </c>
      <c r="B10" s="112" t="str">
        <f>VLOOKUP($L$4,'Input Data'!A4:$AI$23,6,FALSE)</f>
        <v>Baca Tartili</v>
      </c>
      <c r="C10" s="113"/>
      <c r="D10" s="114"/>
      <c r="E10" s="59" t="str">
        <f>VLOOKUP($L$4,'Input Data'!A4:$AI$23,7,FALSE)</f>
        <v>-</v>
      </c>
      <c r="F10" s="112" t="str">
        <f>IF(OR(E10="-", E10=0, E10=""), "-", LOOKUP(E10, 'Aturan Predikat'!$A$2:$A$5, 'Aturan Predikat'!$B$2:$B$5))</f>
        <v>-</v>
      </c>
      <c r="G10" s="113"/>
      <c r="H10" s="115"/>
    </row>
    <row r="11" spans="1:14" ht="15" thickTop="1">
      <c r="A11" s="7" t="s">
        <v>15</v>
      </c>
      <c r="B11" s="6"/>
      <c r="C11" s="6"/>
      <c r="D11" s="6"/>
      <c r="E11" s="6"/>
      <c r="F11" s="6"/>
      <c r="G11" s="6"/>
      <c r="H11" s="6"/>
    </row>
    <row r="12" spans="1:14" ht="15" thickBot="1">
      <c r="A12" s="7" t="s">
        <v>16</v>
      </c>
      <c r="B12" s="6"/>
      <c r="C12" s="6"/>
      <c r="D12" s="6"/>
      <c r="E12" s="6"/>
      <c r="F12" s="6"/>
      <c r="G12" s="6"/>
      <c r="H12" s="6"/>
    </row>
    <row r="13" spans="1:14" ht="15" thickTop="1">
      <c r="A13" s="56" t="s">
        <v>10</v>
      </c>
      <c r="B13" s="108" t="s">
        <v>17</v>
      </c>
      <c r="C13" s="109"/>
      <c r="D13" s="110"/>
      <c r="E13" s="57" t="s">
        <v>18</v>
      </c>
      <c r="F13" s="116" t="s">
        <v>19</v>
      </c>
      <c r="G13" s="109"/>
      <c r="H13" s="111"/>
    </row>
    <row r="14" spans="1:14" ht="15" thickBot="1">
      <c r="A14" s="8">
        <v>1</v>
      </c>
      <c r="B14" s="112" t="str">
        <f>VLOOKUP($L$4,'Input Data'!A4:$AI$23,8,FALSE)</f>
        <v>-</v>
      </c>
      <c r="C14" s="113"/>
      <c r="D14" s="114"/>
      <c r="E14" s="9" t="str">
        <f>VLOOKUP($L$4,'Input Data'!A4:$AI$23,9,FALSE)</f>
        <v>-</v>
      </c>
      <c r="F14" s="112" t="str">
        <f>VLOOKUP($L$4,'Input Data'!A4:$AI$23,10,FALSE)</f>
        <v>-</v>
      </c>
      <c r="G14" s="113"/>
      <c r="H14" s="115"/>
    </row>
    <row r="15" spans="1:14" ht="15" thickTop="1"/>
    <row r="16" spans="1:14" ht="15" thickBot="1">
      <c r="A16" s="7" t="s">
        <v>20</v>
      </c>
      <c r="B16" s="6"/>
      <c r="C16" s="6"/>
      <c r="D16" s="6"/>
      <c r="E16" s="6"/>
      <c r="F16" s="6"/>
      <c r="G16" s="6"/>
      <c r="H16" s="6"/>
    </row>
    <row r="17" spans="1:8" ht="15" thickTop="1">
      <c r="A17" s="56" t="s">
        <v>10</v>
      </c>
      <c r="B17" s="126" t="s">
        <v>21</v>
      </c>
      <c r="C17" s="127"/>
      <c r="D17" s="128"/>
      <c r="E17" s="60" t="s">
        <v>12</v>
      </c>
      <c r="F17" s="126" t="s">
        <v>13</v>
      </c>
      <c r="G17" s="127"/>
      <c r="H17" s="129"/>
    </row>
    <row r="18" spans="1:8">
      <c r="A18" s="10">
        <v>1</v>
      </c>
      <c r="B18" s="130" t="str">
        <f>VLOOKUP($L$4,'Input Data'!$A$4:$AI$23,11,FALSE)</f>
        <v>-</v>
      </c>
      <c r="C18" s="131"/>
      <c r="D18" s="131"/>
      <c r="E18" s="55" t="str">
        <f>VLOOKUP($L$4,'Input Data'!$A$4:$AI$23,12,FALSE)</f>
        <v>-</v>
      </c>
      <c r="F18" s="132" t="str">
        <f>IF(OR(E18="-", E18=0, E18=""), "-", LOOKUP(E18, 'Aturan Predikat'!$A$8:$A$11, 'Aturan Predikat'!$B$8:$B$11))</f>
        <v>-</v>
      </c>
      <c r="G18" s="133"/>
      <c r="H18" s="134"/>
    </row>
    <row r="19" spans="1:8" ht="15" thickBot="1">
      <c r="A19" s="11">
        <v>2</v>
      </c>
      <c r="B19" s="117" t="str">
        <f>VLOOKUP($L$4,'Input Data'!$A$4:$AI$23,13,FALSE)</f>
        <v>-</v>
      </c>
      <c r="C19" s="118"/>
      <c r="D19" s="119"/>
      <c r="E19" s="54" t="str">
        <f>VLOOKUP($L$4,'Input Data'!A4:$AI$23,14,FALSE)</f>
        <v>-</v>
      </c>
      <c r="F19" s="120" t="str">
        <f>IF(OR(E19="-", E19=0, E19=""), "-", LOOKUP(E19, 'Aturan Predikat'!$A$8:$A$11, 'Aturan Predikat'!$B$8:$B$11))</f>
        <v>-</v>
      </c>
      <c r="G19" s="121"/>
      <c r="H19" s="122"/>
    </row>
    <row r="20" spans="1:8" ht="15" thickTop="1">
      <c r="A20" s="7"/>
      <c r="B20" s="6"/>
      <c r="C20" s="6"/>
      <c r="D20" s="6"/>
      <c r="E20" s="6"/>
      <c r="F20" s="6"/>
      <c r="G20" s="6"/>
      <c r="H20" s="6"/>
    </row>
    <row r="21" spans="1:8" ht="15" thickBot="1">
      <c r="A21" s="12" t="s">
        <v>22</v>
      </c>
    </row>
    <row r="22" spans="1:8" ht="15" thickTop="1">
      <c r="A22" s="56" t="s">
        <v>10</v>
      </c>
      <c r="B22" s="108" t="s">
        <v>11</v>
      </c>
      <c r="C22" s="109"/>
      <c r="D22" s="110"/>
      <c r="E22" s="57" t="s">
        <v>12</v>
      </c>
      <c r="F22" s="108" t="s">
        <v>13</v>
      </c>
      <c r="G22" s="109"/>
      <c r="H22" s="111"/>
    </row>
    <row r="23" spans="1:8">
      <c r="A23" s="13">
        <v>1</v>
      </c>
      <c r="B23" s="135" t="str">
        <f>'Input Data'!O3</f>
        <v>Praktek Wudhu</v>
      </c>
      <c r="C23" s="136"/>
      <c r="D23" s="137"/>
      <c r="E23" s="26" t="str">
        <f>VLOOKUP($L$4,'Input Data'!A4:$AI$23,15,FALSE)</f>
        <v>-</v>
      </c>
      <c r="F23" s="123" t="str">
        <f>IF(OR(E23="-", E23=0, E23=""), "-", LOOKUP(E23, 'Aturan Predikat'!$A$14:$A$17, 'Aturan Predikat'!$B$14:$B$17))</f>
        <v>-</v>
      </c>
      <c r="G23" s="124"/>
      <c r="H23" s="125"/>
    </row>
    <row r="24" spans="1:8">
      <c r="A24" s="10">
        <v>2</v>
      </c>
      <c r="B24" s="135" t="str">
        <f>'Input Data'!P3</f>
        <v>Praktek Sholat</v>
      </c>
      <c r="C24" s="136"/>
      <c r="D24" s="137"/>
      <c r="E24" s="87" t="str">
        <f>VLOOKUP($L$4,'Input Data'!A4:$AI$23,16,FALSE)</f>
        <v>-</v>
      </c>
      <c r="F24" s="123" t="str">
        <f>IF(OR(E24="-", E24=0, E24=""), "-", LOOKUP(E24, 'Aturan Predikat'!$A$14:$A$17, 'Aturan Predikat'!$B$14:$B$17))</f>
        <v>-</v>
      </c>
      <c r="G24" s="124"/>
      <c r="H24" s="125"/>
    </row>
    <row r="25" spans="1:8">
      <c r="A25" s="14">
        <v>3</v>
      </c>
      <c r="B25" s="135" t="str">
        <f>'Input Data'!Q3</f>
        <v>Tayamum</v>
      </c>
      <c r="C25" s="136"/>
      <c r="D25" s="137"/>
      <c r="E25" s="55" t="str">
        <f>VLOOKUP($L$4,'Input Data'!A4:$AI$23,17,FALSE)</f>
        <v>-</v>
      </c>
      <c r="F25" s="123" t="str">
        <f>IF(OR(E25="-", E25=0, E25=""), "-", LOOKUP(E25, 'Aturan Predikat'!$A$14:$A$17, 'Aturan Predikat'!$B$14:$B$17))</f>
        <v>-</v>
      </c>
      <c r="G25" s="124"/>
      <c r="H25" s="125"/>
    </row>
    <row r="26" spans="1:8">
      <c r="A26" s="14">
        <v>4</v>
      </c>
      <c r="B26" s="135" t="str">
        <f>'Input Data'!R3</f>
        <v>Shalat Jenazah</v>
      </c>
      <c r="C26" s="136"/>
      <c r="D26" s="137"/>
      <c r="E26" s="55" t="str">
        <f>VLOOKUP($L$4,'Input Data'!A4:$AI$23,18,FALSE)</f>
        <v>-</v>
      </c>
      <c r="F26" s="123" t="str">
        <f>IF(OR(E26="-", E26=0, E26=""), "-", LOOKUP(E26, 'Aturan Predikat'!$A$14:$A$17, 'Aturan Predikat'!$B$14:$B$17))</f>
        <v>-</v>
      </c>
      <c r="G26" s="124"/>
      <c r="H26" s="125"/>
    </row>
    <row r="27" spans="1:8">
      <c r="A27" s="14">
        <v>5</v>
      </c>
      <c r="B27" s="135" t="str">
        <f>'Input Data'!S3</f>
        <v>Do'a Harian</v>
      </c>
      <c r="C27" s="136"/>
      <c r="D27" s="137"/>
      <c r="E27" s="55" t="str">
        <f>VLOOKUP($L$4,'Input Data'!A4:$AI$23,19,FALSE)</f>
        <v>-</v>
      </c>
      <c r="F27" s="123" t="str">
        <f>IF(OR(E27="-", E27=0, E27=""), "-", LOOKUP(E27, 'Aturan Predikat'!$A$14:$A$17, 'Aturan Predikat'!$B$14:$B$17))</f>
        <v>-</v>
      </c>
      <c r="G27" s="124"/>
      <c r="H27" s="125"/>
    </row>
    <row r="28" spans="1:8" ht="15" thickBot="1">
      <c r="A28" s="15">
        <v>6</v>
      </c>
      <c r="B28" s="141" t="str">
        <f>'Input Data'!T3</f>
        <v>Hafalan Hadits</v>
      </c>
      <c r="C28" s="142"/>
      <c r="D28" s="143"/>
      <c r="E28" s="53" t="str">
        <f>VLOOKUP($L$4,'Input Data'!A4:$AI$23,20,FALSE)</f>
        <v>-</v>
      </c>
      <c r="F28" s="148" t="str">
        <f>IF(OR(E28="-", E28=0, E28=""), "-", LOOKUP(E28, 'Aturan Predikat'!$A$14:$A$17, 'Aturan Predikat'!$B$14:$B$17))</f>
        <v>-</v>
      </c>
      <c r="G28" s="149"/>
      <c r="H28" s="150"/>
    </row>
    <row r="29" spans="1:8" ht="15" thickTop="1"/>
    <row r="30" spans="1:8" ht="15" thickBot="1">
      <c r="A30" s="16" t="s">
        <v>28</v>
      </c>
    </row>
    <row r="31" spans="1:8" ht="15" thickTop="1">
      <c r="A31" s="151" t="s">
        <v>29</v>
      </c>
      <c r="B31" s="109"/>
      <c r="C31" s="109"/>
      <c r="D31" s="110"/>
      <c r="E31" s="57" t="s">
        <v>30</v>
      </c>
      <c r="F31" s="145" t="s">
        <v>38</v>
      </c>
      <c r="G31" s="146"/>
      <c r="H31" s="147"/>
    </row>
    <row r="32" spans="1:8" ht="15" thickBot="1">
      <c r="A32" s="152" t="str">
        <f>VLOOKUP($L$4,'Input Data'!$A$4:$AI$23,21,FALSE)</f>
        <v>-</v>
      </c>
      <c r="B32" s="113"/>
      <c r="C32" s="113"/>
      <c r="D32" s="114"/>
      <c r="E32" s="59" t="str">
        <f>VLOOKUP($L$4,'Input Data'!$A$4:$AI$23,22,FALSE)</f>
        <v>-</v>
      </c>
      <c r="F32" s="153" t="str">
        <f>VLOOKUP($L$4,'Input Data'!$A$4:$AI$23,23,FALSE)</f>
        <v>-</v>
      </c>
      <c r="G32" s="113"/>
      <c r="H32" s="115"/>
    </row>
    <row r="33" spans="1:8" ht="15" thickTop="1"/>
    <row r="34" spans="1:8" ht="15" thickBot="1">
      <c r="A34" s="7" t="s">
        <v>31</v>
      </c>
      <c r="B34" s="6"/>
    </row>
    <row r="35" spans="1:8" ht="15" thickTop="1">
      <c r="A35" s="18"/>
      <c r="B35" s="17"/>
      <c r="C35" s="17"/>
      <c r="D35" s="19"/>
      <c r="E35" s="64" t="s">
        <v>19</v>
      </c>
      <c r="F35" s="6"/>
      <c r="G35" s="6"/>
      <c r="H35" s="6"/>
    </row>
    <row r="36" spans="1:8">
      <c r="A36" s="154" t="str">
        <f>'Input Data'!X3</f>
        <v>Akhlak Kepada Guru</v>
      </c>
      <c r="B36" s="155"/>
      <c r="C36" s="155"/>
      <c r="D36" s="156"/>
      <c r="E36" s="88" t="str">
        <f>VLOOKUP($L$4,'Input Data'!$A$4:$AI$23,24,FALSE)</f>
        <v>-</v>
      </c>
      <c r="F36" s="6"/>
      <c r="G36" s="6"/>
      <c r="H36" s="6"/>
    </row>
    <row r="37" spans="1:8">
      <c r="A37" s="157" t="str">
        <f>'Input Data'!Y3</f>
        <v>Akhlak Kepada Teman</v>
      </c>
      <c r="B37" s="136"/>
      <c r="C37" s="136"/>
      <c r="D37" s="137"/>
      <c r="E37" s="88" t="str">
        <f>VLOOKUP($L$4,'Input Data'!$A$4:$AI$23,25,FALSE)</f>
        <v>-</v>
      </c>
      <c r="F37" s="6"/>
      <c r="G37" s="6"/>
      <c r="H37" s="6"/>
    </row>
    <row r="38" spans="1:8">
      <c r="A38" s="157" t="str">
        <f>'Input Data'!Z3</f>
        <v>Kerapian</v>
      </c>
      <c r="B38" s="136"/>
      <c r="C38" s="136"/>
      <c r="D38" s="137"/>
      <c r="E38" s="88" t="str">
        <f>VLOOKUP($L$4,'Input Data'!$A$4:$AI$23,26,FALSE)</f>
        <v>-</v>
      </c>
      <c r="F38" s="6"/>
      <c r="G38" s="6"/>
      <c r="H38" s="6"/>
    </row>
    <row r="39" spans="1:8" ht="15" thickBot="1">
      <c r="A39" s="158" t="str">
        <f>'Input Data'!AA3</f>
        <v>Kedisiplinan</v>
      </c>
      <c r="B39" s="159"/>
      <c r="C39" s="159"/>
      <c r="D39" s="160"/>
      <c r="E39" s="89" t="str">
        <f>VLOOKUP($L$4,'Input Data'!$A$4:$AI$23,27,FALSE)</f>
        <v>-</v>
      </c>
      <c r="F39" s="6"/>
      <c r="G39" s="6"/>
      <c r="H39" s="6"/>
    </row>
    <row r="40" spans="1:8" ht="15" thickTop="1"/>
    <row r="41" spans="1:8" ht="15" thickBot="1">
      <c r="A41" s="20" t="s">
        <v>36</v>
      </c>
    </row>
    <row r="42" spans="1:8" ht="51.5" customHeight="1" thickTop="1" thickBot="1">
      <c r="A42" s="144" t="e">
        <f>VLOOKUP(VLOOKUP(L4,'Input Data'!$A$4:$AB$100,28,0),'Aturan Catatan'!$A$1:$B$8,2,0)</f>
        <v>#N/A</v>
      </c>
      <c r="B42" s="144"/>
      <c r="C42" s="144"/>
      <c r="D42" s="144"/>
      <c r="E42" s="144"/>
      <c r="F42" s="144"/>
      <c r="G42" s="144"/>
      <c r="H42" s="144"/>
    </row>
    <row r="43" spans="1:8" ht="15.75" customHeight="1" thickTop="1"/>
    <row r="45" spans="1:8">
      <c r="F45" s="161" t="s">
        <v>37</v>
      </c>
      <c r="G45" s="161"/>
      <c r="H45" s="161"/>
    </row>
    <row r="46" spans="1:8">
      <c r="F46" s="61"/>
      <c r="G46" s="61"/>
      <c r="H46" s="61"/>
    </row>
    <row r="47" spans="1:8">
      <c r="F47" s="61"/>
      <c r="G47" s="61"/>
      <c r="H47" s="61"/>
    </row>
    <row r="48" spans="1:8">
      <c r="A48" s="162" t="s">
        <v>76</v>
      </c>
      <c r="B48" s="162"/>
      <c r="C48" s="162"/>
      <c r="D48" s="162"/>
      <c r="E48" s="63" t="s">
        <v>77</v>
      </c>
      <c r="F48" s="62" t="s">
        <v>78</v>
      </c>
      <c r="G48" s="164" t="s">
        <v>79</v>
      </c>
      <c r="H48" s="164"/>
    </row>
    <row r="49" spans="1:8">
      <c r="A49" s="6"/>
      <c r="B49" s="6"/>
      <c r="C49" s="6"/>
      <c r="D49" s="6"/>
      <c r="E49" s="6"/>
      <c r="F49" s="6"/>
      <c r="G49" s="6"/>
      <c r="H49" s="6"/>
    </row>
    <row r="52" spans="1:8">
      <c r="A52" s="163" t="s">
        <v>83</v>
      </c>
      <c r="B52" s="163"/>
      <c r="C52" s="163"/>
      <c r="D52" s="163"/>
      <c r="E52" s="72" t="str">
        <f>'Input Data'!AC4</f>
        <v>Maulidin Nafsir</v>
      </c>
      <c r="F52" s="21"/>
      <c r="G52" s="165" t="str">
        <f>'Input Data'!AD4</f>
        <v>Maulidin Nafsir</v>
      </c>
      <c r="H52" s="165"/>
    </row>
  </sheetData>
  <sheetProtection algorithmName="SHA-512" hashValue="3QZ65/LMjkhiZ+jcesL9vJ2FbXU4hthojh9Jbf/7bs3xp0IJzH19v71UzSVTy6FZEMAV5w2/yGHq7hgiGMQspw==" saltValue="6ixmK58P1fSREpwPh3qhJQ==" spinCount="100000" sheet="1" objects="1" scenarios="1"/>
  <mergeCells count="50">
    <mergeCell ref="F45:H45"/>
    <mergeCell ref="A48:D48"/>
    <mergeCell ref="A52:D52"/>
    <mergeCell ref="G48:H48"/>
    <mergeCell ref="G52:H52"/>
    <mergeCell ref="B28:D28"/>
    <mergeCell ref="A42:H42"/>
    <mergeCell ref="F31:H31"/>
    <mergeCell ref="F28:H28"/>
    <mergeCell ref="A31:D31"/>
    <mergeCell ref="A32:D32"/>
    <mergeCell ref="F32:H32"/>
    <mergeCell ref="A36:D36"/>
    <mergeCell ref="A37:D37"/>
    <mergeCell ref="A38:D38"/>
    <mergeCell ref="A39:D39"/>
    <mergeCell ref="B26:D26"/>
    <mergeCell ref="F26:H26"/>
    <mergeCell ref="B27:D27"/>
    <mergeCell ref="F27:H27"/>
    <mergeCell ref="F24:H24"/>
    <mergeCell ref="B24:D24"/>
    <mergeCell ref="B25:D25"/>
    <mergeCell ref="F25:H25"/>
    <mergeCell ref="B14:D14"/>
    <mergeCell ref="F14:H14"/>
    <mergeCell ref="B17:D17"/>
    <mergeCell ref="F17:H17"/>
    <mergeCell ref="B18:D18"/>
    <mergeCell ref="F18:H18"/>
    <mergeCell ref="B19:D19"/>
    <mergeCell ref="F19:H19"/>
    <mergeCell ref="B22:D22"/>
    <mergeCell ref="F22:H22"/>
    <mergeCell ref="F23:H23"/>
    <mergeCell ref="B23:D23"/>
    <mergeCell ref="B9:D9"/>
    <mergeCell ref="F9:H9"/>
    <mergeCell ref="B10:D10"/>
    <mergeCell ref="F10:H10"/>
    <mergeCell ref="B13:D13"/>
    <mergeCell ref="F13:H13"/>
    <mergeCell ref="L4:L5"/>
    <mergeCell ref="A6:B6"/>
    <mergeCell ref="D6:E6"/>
    <mergeCell ref="A2:H2"/>
    <mergeCell ref="A3:H3"/>
    <mergeCell ref="A4:H4"/>
    <mergeCell ref="A5:B5"/>
    <mergeCell ref="L2:N2"/>
  </mergeCells>
  <printOptions horizontalCentered="1"/>
  <pageMargins left="0.70866141732283472" right="0.70866141732283472" top="0.74803149606299213" bottom="0.74803149606299213" header="0.31496062992125984" footer="0.31496062992125984"/>
  <pageSetup paperSize="14" orientation="portrait" r:id="rId1"/>
  <headerFooter>
    <oddHeader xml:space="preserve">&amp;C
</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10241" r:id="rId4" name="Spinner 1">
              <controlPr defaultSize="0" autoPict="0">
                <anchor moveWithCells="1" sizeWithCells="1">
                  <from>
                    <xdr:col>12</xdr:col>
                    <xdr:colOff>31750</xdr:colOff>
                    <xdr:row>2</xdr:row>
                    <xdr:rowOff>19050</xdr:rowOff>
                  </from>
                  <to>
                    <xdr:col>13</xdr:col>
                    <xdr:colOff>609600</xdr:colOff>
                    <xdr:row>4</xdr:row>
                    <xdr:rowOff>177800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524AC-58C6-45C1-9193-F6E1973C93DC}">
  <dimension ref="A1:I16"/>
  <sheetViews>
    <sheetView showGridLines="0" zoomScale="70" zoomScaleNormal="70" workbookViewId="0">
      <selection activeCell="L10" sqref="L10"/>
    </sheetView>
  </sheetViews>
  <sheetFormatPr defaultRowHeight="14.5"/>
  <cols>
    <col min="1" max="1" width="23.08984375" customWidth="1"/>
    <col min="2" max="2" width="2.6328125" customWidth="1"/>
    <col min="3" max="3" width="11.36328125" customWidth="1"/>
  </cols>
  <sheetData>
    <row r="1" spans="1:9" ht="37">
      <c r="A1" s="166" t="s">
        <v>95</v>
      </c>
      <c r="B1" s="166"/>
      <c r="C1" s="166"/>
      <c r="D1" s="166"/>
      <c r="E1" s="166"/>
      <c r="F1" s="166"/>
      <c r="G1" s="166"/>
      <c r="H1" s="166"/>
      <c r="I1" s="76"/>
    </row>
    <row r="2" spans="1:9" ht="23.5">
      <c r="A2" s="76"/>
      <c r="B2" s="76"/>
      <c r="C2" s="76"/>
      <c r="D2" s="76"/>
      <c r="E2" s="76"/>
      <c r="F2" s="76"/>
      <c r="G2" s="76"/>
      <c r="H2" s="76"/>
      <c r="I2" s="76"/>
    </row>
    <row r="3" spans="1:9" ht="28">
      <c r="A3" s="168" t="s">
        <v>96</v>
      </c>
      <c r="B3" s="168"/>
      <c r="C3" s="168"/>
      <c r="D3" s="168"/>
      <c r="E3" s="168"/>
      <c r="F3" s="168"/>
      <c r="G3" s="168"/>
      <c r="H3" s="168"/>
      <c r="I3" s="76"/>
    </row>
    <row r="4" spans="1:9" ht="28">
      <c r="A4" s="168" t="s">
        <v>97</v>
      </c>
      <c r="B4" s="168"/>
      <c r="C4" s="168"/>
      <c r="D4" s="168"/>
      <c r="E4" s="168"/>
      <c r="F4" s="168"/>
      <c r="G4" s="168"/>
      <c r="H4" s="168"/>
      <c r="I4" s="76"/>
    </row>
    <row r="5" spans="1:9" ht="23.5">
      <c r="A5" s="167"/>
      <c r="B5" s="167"/>
      <c r="C5" s="167"/>
      <c r="D5" s="167"/>
      <c r="E5" s="167"/>
      <c r="F5" s="167"/>
      <c r="G5" s="167"/>
      <c r="H5" s="76"/>
      <c r="I5" s="76"/>
    </row>
    <row r="6" spans="1:9" ht="15.5">
      <c r="A6" s="77" t="s">
        <v>86</v>
      </c>
      <c r="B6" s="78" t="s">
        <v>5</v>
      </c>
      <c r="C6" s="79" t="s">
        <v>85</v>
      </c>
      <c r="D6" s="79"/>
      <c r="E6" s="79"/>
      <c r="F6" s="79"/>
      <c r="G6" s="79"/>
      <c r="H6" s="75"/>
      <c r="I6" s="75"/>
    </row>
    <row r="7" spans="1:9" ht="15.5">
      <c r="A7" s="77" t="s">
        <v>92</v>
      </c>
      <c r="B7" s="78" t="s">
        <v>5</v>
      </c>
      <c r="C7" s="79" t="s">
        <v>84</v>
      </c>
      <c r="D7" s="79"/>
      <c r="E7" s="79"/>
      <c r="F7" s="79"/>
      <c r="G7" s="79"/>
      <c r="H7" s="75"/>
      <c r="I7" s="75"/>
    </row>
    <row r="8" spans="1:9" ht="15.5">
      <c r="A8" s="77" t="s">
        <v>87</v>
      </c>
      <c r="B8" s="78" t="s">
        <v>5</v>
      </c>
      <c r="C8" s="79" t="s">
        <v>93</v>
      </c>
      <c r="D8" s="79"/>
      <c r="E8" s="79"/>
      <c r="F8" s="79"/>
      <c r="G8" s="79"/>
      <c r="H8" s="75"/>
      <c r="I8" s="75"/>
    </row>
    <row r="9" spans="1:9" ht="15.5">
      <c r="A9" s="77" t="s">
        <v>88</v>
      </c>
      <c r="B9" s="78" t="s">
        <v>5</v>
      </c>
      <c r="C9" s="80" t="s">
        <v>94</v>
      </c>
      <c r="D9" s="79"/>
      <c r="E9" s="79"/>
      <c r="F9" s="79"/>
      <c r="G9" s="79"/>
      <c r="H9" s="75"/>
      <c r="I9" s="75"/>
    </row>
    <row r="10" spans="1:9" ht="23.5">
      <c r="A10" s="76"/>
      <c r="B10" s="76"/>
      <c r="C10" s="76"/>
      <c r="D10" s="76"/>
      <c r="E10" s="76"/>
      <c r="F10" s="76"/>
      <c r="G10" s="76"/>
      <c r="H10" s="76"/>
      <c r="I10" s="76"/>
    </row>
    <row r="11" spans="1:9" ht="23.5">
      <c r="A11" s="82" t="s">
        <v>89</v>
      </c>
      <c r="B11" s="81"/>
      <c r="C11" s="81"/>
      <c r="D11" s="81"/>
      <c r="E11" s="81"/>
      <c r="F11" s="81"/>
      <c r="G11" s="81"/>
      <c r="H11" s="81"/>
      <c r="I11" s="81"/>
    </row>
    <row r="12" spans="1:9" ht="23.5">
      <c r="A12" s="83" t="s">
        <v>90</v>
      </c>
      <c r="B12" s="81"/>
      <c r="C12" s="81"/>
      <c r="D12" s="81"/>
      <c r="E12" s="81"/>
      <c r="F12" s="81"/>
      <c r="G12" s="81"/>
      <c r="H12" s="81"/>
      <c r="I12" s="81"/>
    </row>
    <row r="13" spans="1:9" ht="23.5">
      <c r="A13" s="81"/>
      <c r="B13" s="81"/>
      <c r="C13" s="81"/>
      <c r="D13" s="81"/>
      <c r="E13" s="81"/>
      <c r="F13" s="81"/>
      <c r="G13" s="81"/>
      <c r="H13" s="81"/>
      <c r="I13" s="81"/>
    </row>
    <row r="14" spans="1:9" ht="23.5">
      <c r="A14" s="84" t="s">
        <v>91</v>
      </c>
      <c r="B14" s="81"/>
      <c r="C14" s="81"/>
      <c r="D14" s="81"/>
      <c r="E14" s="81"/>
      <c r="F14" s="81"/>
      <c r="G14" s="81"/>
      <c r="H14" s="81"/>
      <c r="I14" s="81"/>
    </row>
    <row r="15" spans="1:9" ht="23.5">
      <c r="A15" s="76"/>
      <c r="B15" s="76"/>
      <c r="C15" s="76"/>
      <c r="D15" s="76"/>
      <c r="E15" s="76"/>
      <c r="F15" s="76"/>
      <c r="G15" s="76"/>
      <c r="H15" s="76"/>
      <c r="I15" s="76"/>
    </row>
    <row r="16" spans="1:9" ht="23.5">
      <c r="A16" s="76"/>
      <c r="B16" s="76"/>
      <c r="C16" s="76"/>
      <c r="D16" s="76"/>
      <c r="E16" s="76"/>
      <c r="F16" s="76"/>
      <c r="G16" s="76"/>
      <c r="H16" s="76"/>
      <c r="I16" s="76"/>
    </row>
  </sheetData>
  <sheetProtection algorithmName="SHA-512" hashValue="K22HCo7V1X3bq1GHxKEaY1eGbbuIFtMwm2WruTarUio0vDOj9NX771Bppyxj7aq3h9PMNA9lTvgJGETfvx4iAA==" saltValue="oftMbUxt1YVOTV+m3fXqhg==" spinCount="100000" sheet="1" objects="1" scenarios="1"/>
  <mergeCells count="4">
    <mergeCell ref="A1:H1"/>
    <mergeCell ref="A5:G5"/>
    <mergeCell ref="A3:H3"/>
    <mergeCell ref="A4:H4"/>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Aturan Catatan</vt:lpstr>
      <vt:lpstr>Aturan Predikat</vt:lpstr>
      <vt:lpstr>Input Data</vt:lpstr>
      <vt:lpstr>Cetak</vt:lpstr>
      <vt:lpstr>About</vt:lpstr>
      <vt:lpstr>Cetak!Print_Area</vt:lpstr>
      <vt:lpstr>'Input 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Iqbal PKBM TUNAS ILMU</cp:lastModifiedBy>
  <cp:lastPrinted>2025-12-18T12:56:55Z</cp:lastPrinted>
  <dcterms:created xsi:type="dcterms:W3CDTF">2025-12-17T04:09:46Z</dcterms:created>
  <dcterms:modified xsi:type="dcterms:W3CDTF">2025-12-18T13:03:01Z</dcterms:modified>
</cp:coreProperties>
</file>